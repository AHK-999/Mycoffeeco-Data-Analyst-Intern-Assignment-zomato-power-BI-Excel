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K\Desktop\"/>
    </mc:Choice>
  </mc:AlternateContent>
  <xr:revisionPtr revIDLastSave="0" documentId="13_ncr:1_{C16DAA0F-912F-4666-A158-6C917AB66FFE}" xr6:coauthVersionLast="47" xr6:coauthVersionMax="47" xr10:uidLastSave="{00000000-0000-0000-0000-000000000000}"/>
  <bookViews>
    <workbookView xWindow="-108" yWindow="-108" windowWidth="23256" windowHeight="12456" activeTab="2" xr2:uid="{E13B0714-22A2-4335-9B16-806035B022F2}"/>
  </bookViews>
  <sheets>
    <sheet name="Visuals" sheetId="10" r:id="rId1"/>
    <sheet name="Coffee Market Analysis (Gurg" sheetId="4" r:id="rId2"/>
    <sheet name="Quick Bites Market Analysis" sheetId="5" r:id="rId3"/>
    <sheet name="Competitive Pricing &amp; Benchm" sheetId="6" r:id="rId4"/>
    <sheet name="Raw Data" sheetId="1" r:id="rId5"/>
  </sheets>
  <definedNames>
    <definedName name="_xlcn.WorksheetConnection_RawDataAJ1" hidden="1">'Raw Data'!$A:$J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w Data!$A:$J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2" i="1"/>
  <c r="E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BDD88-C351-4323-81DF-23924752F8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1B5E9FA-D9EF-4FD7-AF43-F660B6E06E2D}" name="WorksheetConnection_Raw Data!$A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DataAJ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Item Category].&amp;[Coffee]}"/>
    <s v="{[Range].[Item Category].&amp;[Quick Bit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<sst xmlns="http://schemas.openxmlformats.org/spreadsheetml/2006/main" count="901" uniqueCount="175">
  <si>
    <t>Brand Name</t>
  </si>
  <si>
    <t>Outlet Area</t>
  </si>
  <si>
    <t>Item Category</t>
  </si>
  <si>
    <t>Item Name</t>
  </si>
  <si>
    <t>Price</t>
  </si>
  <si>
    <t>Bestseller Tag</t>
  </si>
  <si>
    <t>S.No</t>
  </si>
  <si>
    <t>Item Type</t>
  </si>
  <si>
    <t>Price Bucket</t>
  </si>
  <si>
    <t>Cafe Belong</t>
  </si>
  <si>
    <t>Sector 62, Golf Course Extension</t>
  </si>
  <si>
    <t>Coffee</t>
  </si>
  <si>
    <t>Espresso</t>
  </si>
  <si>
    <t>Americanno</t>
  </si>
  <si>
    <t>Cappuccino</t>
  </si>
  <si>
    <t>Hot Chocolate</t>
  </si>
  <si>
    <t>Cafe Latte</t>
  </si>
  <si>
    <t>Cafe Mocha</t>
  </si>
  <si>
    <t>Mocha</t>
  </si>
  <si>
    <t>Latte</t>
  </si>
  <si>
    <t>Cold Coffee</t>
  </si>
  <si>
    <t>Iced Latte</t>
  </si>
  <si>
    <t>Iced Mocha</t>
  </si>
  <si>
    <t>Flavoured Cold Coffee</t>
  </si>
  <si>
    <t>Classic Cold Coffee</t>
  </si>
  <si>
    <t>Hazelnut Cold Coffee</t>
  </si>
  <si>
    <t>Quick Bite</t>
  </si>
  <si>
    <t>French Fries</t>
  </si>
  <si>
    <t>French Fries (Salted)</t>
  </si>
  <si>
    <t>French Fries (Peri Peri)</t>
  </si>
  <si>
    <t>French Fries (Loaded)</t>
  </si>
  <si>
    <t>Bruschetta</t>
  </si>
  <si>
    <t>Tomato &amp; Basil Bruschetta</t>
  </si>
  <si>
    <t>Cheese &amp; Mushroom Bruschetta</t>
  </si>
  <si>
    <t>Cheese &amp; Chicken Bruschetta</t>
  </si>
  <si>
    <t>Pesta Chicken Bruschetta</t>
  </si>
  <si>
    <t>Garlic Bread</t>
  </si>
  <si>
    <t>Garlic  Bread</t>
  </si>
  <si>
    <t>Garlic Bread with Cheese</t>
  </si>
  <si>
    <t>Garlic Bread with Cheese &amp; Veggies</t>
  </si>
  <si>
    <t>Nachos</t>
  </si>
  <si>
    <t>Baked Nachos</t>
  </si>
  <si>
    <t>Hummus &amp; Pita</t>
  </si>
  <si>
    <t>Hummus and Pita</t>
  </si>
  <si>
    <t>Mushroom Starter</t>
  </si>
  <si>
    <t>Twisty Mushrooms</t>
  </si>
  <si>
    <t>Chicken Starter</t>
  </si>
  <si>
    <t>Chicken Chips</t>
  </si>
  <si>
    <t>Cafe Rating</t>
  </si>
  <si>
    <t>DLF Phase 4</t>
  </si>
  <si>
    <t>Koby's Coffee,Sandwiches&amp; croissants</t>
  </si>
  <si>
    <t>Block C, Sushant Lok</t>
  </si>
  <si>
    <t>Yes</t>
  </si>
  <si>
    <t>No</t>
  </si>
  <si>
    <t>Hazelnut Icedpresso</t>
  </si>
  <si>
    <t>Caramel Icedpresso</t>
  </si>
  <si>
    <t>Chipotle Chicken</t>
  </si>
  <si>
    <t>Mushrooms &amp; Cheese Melt</t>
  </si>
  <si>
    <t>Sandwich</t>
  </si>
  <si>
    <t>Iced Americano</t>
  </si>
  <si>
    <t>Doughnut</t>
  </si>
  <si>
    <t>Custard Doughnut</t>
  </si>
  <si>
    <t>Perch Wine &amp; Coffee Bar</t>
  </si>
  <si>
    <t>Vasat Vihar</t>
  </si>
  <si>
    <t>Miso Grilled Chicken</t>
  </si>
  <si>
    <t>Grilled</t>
  </si>
  <si>
    <t>Grilled Norwegian Salmon</t>
  </si>
  <si>
    <t>Greek Style Roast Chicken Sandwich</t>
  </si>
  <si>
    <t>Cassava Chips</t>
  </si>
  <si>
    <t>Paul</t>
  </si>
  <si>
    <t>DLF Phase 3</t>
  </si>
  <si>
    <t>Spiced Chicken Brioche Sandwich</t>
  </si>
  <si>
    <t>Pizza</t>
  </si>
  <si>
    <t>Pepperoni Pizza</t>
  </si>
  <si>
    <t>Margherita Pizza</t>
  </si>
  <si>
    <t>Primavera</t>
  </si>
  <si>
    <t>DLF Phase 5</t>
  </si>
  <si>
    <t>DLF Phase 6</t>
  </si>
  <si>
    <t>DLF Phase 7</t>
  </si>
  <si>
    <t>DLF Phase 8</t>
  </si>
  <si>
    <t>DLF Phase 9</t>
  </si>
  <si>
    <t>DLF Phase 10</t>
  </si>
  <si>
    <t>DLF Phase 11</t>
  </si>
  <si>
    <t>The Coffee Bean &amp; Tea Leaf</t>
  </si>
  <si>
    <t>Sector 28,Mehrauli Road</t>
  </si>
  <si>
    <t>Cold Brew Coffee Black</t>
  </si>
  <si>
    <t>Iced Cappuccino</t>
  </si>
  <si>
    <t>Fries</t>
  </si>
  <si>
    <t>Pataaka Fries</t>
  </si>
  <si>
    <t>Croissant</t>
  </si>
  <si>
    <t>Butter Croissant</t>
  </si>
  <si>
    <t>Mexicano Paneer Pizza</t>
  </si>
  <si>
    <t>Tandoori Chicken Pizza</t>
  </si>
  <si>
    <t>Grilled Chicken Sandwich</t>
  </si>
  <si>
    <t>Cheese Melt Sandwich</t>
  </si>
  <si>
    <t>Mexican Paneer Croissant Sandwich</t>
  </si>
  <si>
    <t>Sardar Ji Bakhsh Coffee</t>
  </si>
  <si>
    <t>Pillar 179,Golf Course Road</t>
  </si>
  <si>
    <t>Hazelnut Cappuccino</t>
  </si>
  <si>
    <t>Cinnabon Americano</t>
  </si>
  <si>
    <t>Peri Peri Fries</t>
  </si>
  <si>
    <t>Sourdough Sandwich</t>
  </si>
  <si>
    <t>Chicken Mykonos Sourdough Sandwich</t>
  </si>
  <si>
    <t>Iced Espresso</t>
  </si>
  <si>
    <t>Hazelnut Mocha</t>
  </si>
  <si>
    <t>Beekend</t>
  </si>
  <si>
    <t>Sushant Lok Phase 1, Sector 43</t>
  </si>
  <si>
    <t>Hazelnut Latte</t>
  </si>
  <si>
    <t>Vanilla Latte</t>
  </si>
  <si>
    <t>Sushant Lok Phase 1, Sector 44</t>
  </si>
  <si>
    <t>Sushant Lok Phase 1, Sector 45</t>
  </si>
  <si>
    <t>Sushant Lok Phase 1, Sector 46</t>
  </si>
  <si>
    <t>Sushant Lok Phase 1, Sector 47</t>
  </si>
  <si>
    <t>Sushant Lok Phase 1, Sector 48</t>
  </si>
  <si>
    <t>Toast</t>
  </si>
  <si>
    <t>French Toast</t>
  </si>
  <si>
    <t>Garlic Butter Bacon Toast</t>
  </si>
  <si>
    <t>Sushant Lok Phase 1, Sector 49</t>
  </si>
  <si>
    <t>Sushant Lok Phase 1, Sector 50</t>
  </si>
  <si>
    <t>Sushant Lok Phase 1, Sector 51</t>
  </si>
  <si>
    <t>Tim Hortons</t>
  </si>
  <si>
    <t>DLF Cyber City</t>
  </si>
  <si>
    <t>Biscoff Donut</t>
  </si>
  <si>
    <t>Chicken &amp; Cheese Melt Sandwich</t>
  </si>
  <si>
    <t>Mushrooms &amp; Cheese Melt Sandwich</t>
  </si>
  <si>
    <t>Hazelnut Caffe Latte</t>
  </si>
  <si>
    <t>Iced Caffe Latte</t>
  </si>
  <si>
    <t>Signature Hot Chocolate</t>
  </si>
  <si>
    <t>Avocado Salsa Sandwich</t>
  </si>
  <si>
    <t>Egg White &amp; Chicken in Multigrain Croissant</t>
  </si>
  <si>
    <t>Spinach &amp; Corn Sandwich</t>
  </si>
  <si>
    <t>Panee Tikka Sandwich</t>
  </si>
  <si>
    <t>Costa Coffee</t>
  </si>
  <si>
    <t>Burgers</t>
  </si>
  <si>
    <t>Vegetable Cheese Burger</t>
  </si>
  <si>
    <t>Chicken Cheese Burger</t>
  </si>
  <si>
    <t>Bombay Style Sandwich</t>
  </si>
  <si>
    <t>Italian Grilled Chicken Sandwich</t>
  </si>
  <si>
    <t>DLF Phase 12</t>
  </si>
  <si>
    <t>DLF Phase 13</t>
  </si>
  <si>
    <t>DLF Phase 14</t>
  </si>
  <si>
    <t>DLF Phase 15</t>
  </si>
  <si>
    <t>Starbucks</t>
  </si>
  <si>
    <t>Grand Total</t>
  </si>
  <si>
    <t>Count of Item Name</t>
  </si>
  <si>
    <t>No. of Items</t>
  </si>
  <si>
    <t>Coffee Beverges</t>
  </si>
  <si>
    <t>MOST POPULAR COFFEE BEVERGES</t>
  </si>
  <si>
    <t>Price Points</t>
  </si>
  <si>
    <t>₹200–299</t>
  </si>
  <si>
    <t>₹99–199</t>
  </si>
  <si>
    <t>₹300–399</t>
  </si>
  <si>
    <t>The majority of coffee items in Gurgaon fall within the ₹200–299 price range, 
indicating this as the most commonly sold and consumer-preferred price point. 
Premium pricing above ₹500 exists but represents a smaller, niche segment.</t>
  </si>
  <si>
    <t>Estimate overall sales trends of coffee in the Gurgaon market</t>
  </si>
  <si>
    <t>Best Sellers</t>
  </si>
  <si>
    <t>Column Labels</t>
  </si>
  <si>
    <t>The overall coffee sales trend in the Gurgaon market indicates strong and sustained demand, with the highest concentration of high-demand items falling within the ₹200–299 price range. 
Approximately 64% of coffee items are classified as high-demand (bestseller), suggesting robust consumer preference for mid-priced coffee offerings.
 Lower-priced coffee options continue to contribute to volume, while premium-priced beverages represent a smaller but present niche. 
Overall, the market demonstrates a mid-premium, mass-consumption driven sales pattern</t>
  </si>
  <si>
    <t>Among coffee beverages in the Gurgaon market, Latte emerges as the most popular category, followed by Cold Coffee and Cappuccino.
 This indicates strong consumer preference for milk-based and chilled coffee options, especially in mid-price ranges</t>
  </si>
  <si>
    <t>Quick Bite Items</t>
  </si>
  <si>
    <t>No. Times Ordered</t>
  </si>
  <si>
    <t>Most popular quick-bite items ordered along 
with or independently of coffee</t>
  </si>
  <si>
    <t>Analyze price ranges where customers place 
the highest number of orders</t>
  </si>
  <si>
    <t>₹400-499</t>
  </si>
  <si>
    <t>₹500+</t>
  </si>
  <si>
    <t>Compare pricing of key 
competitors on Zomato</t>
  </si>
  <si>
    <t>Average of Price</t>
  </si>
  <si>
    <t>Café Brands</t>
  </si>
  <si>
    <t>Among quick-bite items, sandwiches emerge as the most popular category, 
followed by fries and pizza, indicating a strong preference for filling, 
easy-to-consume food items that pair well with coffee</t>
  </si>
  <si>
    <t>Quick-bite orders are highly concentrated in the ₹99–299 price range, 
suggesting that customers prefer affordable add-on items alongside beverages. 
Higher-priced quick bites above ₹400 form a smaller, niche segment</t>
  </si>
  <si>
    <t>Recommend optimal pricing strategy for 
our coffee and quick-bite offerings</t>
  </si>
  <si>
    <t>No. of orders</t>
  </si>
  <si>
    <t>No.of orders</t>
  </si>
  <si>
    <t>Price Range</t>
  </si>
  <si>
    <t>Competitor pricing analysis on Zomato indicates a wide spread across premium, mid-range, and value segments. 
While premium cafés price beverages above ₹400, the majority of popular brands operate in the ₹200–300 range, 
indicating strong consumer acceptance at this price level</t>
  </si>
  <si>
    <t>Based on demand concentration and competitor benchmarking, 
an optimal pricing strategy would position coffee offerings between ₹200–299 to capture maximum demand,
 while quick-bite items should be priced between ₹99–299 to encourage add-on purchases and higher order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</si>
</sst>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Intern.xlsx]Coffee Market Analysis (Gurg!PivotTable1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Most Popular Coffee Beverages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971006283053051E-2"/>
          <c:y val="0.31416264218023243"/>
          <c:w val="0.88011173715822655"/>
          <c:h val="0.29152740717217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'Coffee Market Analysis (Gurg'!$C$7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'Coffee Market Analysis (Gurg'!$B$8:$B$18</c:f>
              <c:strCache>
                <c:ptCount val="10"/>
                <c:pt idx="0">
                  <c:v>Latte</c:v>
                </c:pt>
                <c:pt idx="1">
                  <c:v>Cold Coffee</c:v>
                </c:pt>
                <c:pt idx="2">
                  <c:v>Cappuccino</c:v>
                </c:pt>
                <c:pt idx="3">
                  <c:v>Americanno</c:v>
                </c:pt>
                <c:pt idx="4">
                  <c:v>Mocha</c:v>
                </c:pt>
                <c:pt idx="5">
                  <c:v>Hot Chocolate</c:v>
                </c:pt>
                <c:pt idx="6">
                  <c:v>Espresso</c:v>
                </c:pt>
                <c:pt idx="7">
                  <c:v>Flavoured Cold Coffee</c:v>
                </c:pt>
                <c:pt idx="8">
                  <c:v>Iced Mocha</c:v>
                </c:pt>
                <c:pt idx="9">
                  <c:v>Iced Latte</c:v>
                </c:pt>
              </c:strCache>
            </c:strRef>
          </c:cat>
          <c:val>
            <c:numRef>
              <c:f>'Coffee Market Analysis (Gurg'!$C$8:$C$18</c:f>
              <c:numCache>
                <c:formatCode>General</c:formatCode>
                <c:ptCount val="10"/>
                <c:pt idx="0">
                  <c:v>16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5-459F-A076-DAF62260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188927"/>
        <c:axId val="1774189407"/>
      </c:barChart>
      <c:catAx>
        <c:axId val="177418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89407"/>
        <c:crosses val="autoZero"/>
        <c:auto val="1"/>
        <c:lblAlgn val="ctr"/>
        <c:lblOffset val="100"/>
        <c:noMultiLvlLbl val="0"/>
      </c:catAx>
      <c:valAx>
        <c:axId val="177418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8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Intern.xlsx]Coffee Market Analysis (Gurg!PivotTable2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Coffee Price Point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 Market Analysis (Gurg'!$G$7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'Coffee Market Analysis (Gurg'!$F$8:$F$11</c:f>
              <c:strCache>
                <c:ptCount val="3"/>
                <c:pt idx="0">
                  <c:v>₹200–299</c:v>
                </c:pt>
                <c:pt idx="1">
                  <c:v>₹99–199</c:v>
                </c:pt>
                <c:pt idx="2">
                  <c:v>₹300–399</c:v>
                </c:pt>
              </c:strCache>
            </c:strRef>
          </c:cat>
          <c:val>
            <c:numRef>
              <c:f>'Coffee Market Analysis (Gurg'!$G$8:$G$11</c:f>
              <c:numCache>
                <c:formatCode>General</c:formatCode>
                <c:ptCount val="3"/>
                <c:pt idx="0">
                  <c:v>37</c:v>
                </c:pt>
                <c:pt idx="1">
                  <c:v>21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D-4632-86E0-6B49EE73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202847"/>
        <c:axId val="1774219647"/>
      </c:barChart>
      <c:catAx>
        <c:axId val="177420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19647"/>
        <c:crosses val="autoZero"/>
        <c:auto val="1"/>
        <c:lblAlgn val="ctr"/>
        <c:lblOffset val="100"/>
        <c:noMultiLvlLbl val="0"/>
      </c:catAx>
      <c:valAx>
        <c:axId val="177421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0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Intern.xlsx]Coffee Market Analysis (Gurg!PivotTable3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580927384077"/>
          <c:y val="0.22067057839079654"/>
          <c:w val="0.67380796150481193"/>
          <c:h val="0.600008627316442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'Coffee Market Analysis (Gurg'!$K$7:$K$8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'Coffee Market Analysis (Gurg'!$J$9:$J$12</c:f>
              <c:strCache>
                <c:ptCount val="3"/>
                <c:pt idx="0">
                  <c:v>₹200–299</c:v>
                </c:pt>
                <c:pt idx="1">
                  <c:v>₹300–399</c:v>
                </c:pt>
                <c:pt idx="2">
                  <c:v>₹99–199</c:v>
                </c:pt>
              </c:strCache>
            </c:strRef>
          </c:cat>
          <c:val>
            <c:numRef>
              <c:f>'Coffee Market Analysis (Gurg'!$K$9:$K$12</c:f>
              <c:numCache>
                <c:formatCode>General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E-4E34-AB90-BFBB8589287F}"/>
            </c:ext>
          </c:extLst>
        </c:ser>
        <c:ser>
          <c:idx val="1"/>
          <c:order val="1"/>
          <c:tx>
            <c:strRef>
              <c:f>'Coffee Market Analysis (Gurg'!$L$7:$L$8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'Coffee Market Analysis (Gurg'!$J$9:$J$12</c:f>
              <c:strCache>
                <c:ptCount val="3"/>
                <c:pt idx="0">
                  <c:v>₹200–299</c:v>
                </c:pt>
                <c:pt idx="1">
                  <c:v>₹300–399</c:v>
                </c:pt>
                <c:pt idx="2">
                  <c:v>₹99–199</c:v>
                </c:pt>
              </c:strCache>
            </c:strRef>
          </c:cat>
          <c:val>
            <c:numRef>
              <c:f>'Coffee Market Analysis (Gurg'!$L$9:$L$12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E-4E34-AB90-BFBB85892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6842543"/>
        <c:axId val="1373765120"/>
      </c:barChart>
      <c:catAx>
        <c:axId val="167684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65120"/>
        <c:crosses val="autoZero"/>
        <c:auto val="1"/>
        <c:lblAlgn val="ctr"/>
        <c:lblOffset val="100"/>
        <c:noMultiLvlLbl val="0"/>
      </c:catAx>
      <c:valAx>
        <c:axId val="137376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425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Intern.xlsx]Quick Bites Market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Most Popular Quick Bite Items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'Quick Bites Market Analysis'!$C$6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'Quick Bites Market Analysis'!$B$7:$B$21</c:f>
              <c:strCache>
                <c:ptCount val="14"/>
                <c:pt idx="0">
                  <c:v>Sandwich</c:v>
                </c:pt>
                <c:pt idx="1">
                  <c:v>Fries</c:v>
                </c:pt>
                <c:pt idx="2">
                  <c:v>Pizza</c:v>
                </c:pt>
                <c:pt idx="3">
                  <c:v>Bruschetta</c:v>
                </c:pt>
                <c:pt idx="4">
                  <c:v>Croissant</c:v>
                </c:pt>
                <c:pt idx="5">
                  <c:v>Garlic Bread</c:v>
                </c:pt>
                <c:pt idx="6">
                  <c:v>Doughnut</c:v>
                </c:pt>
                <c:pt idx="7">
                  <c:v>Toast</c:v>
                </c:pt>
                <c:pt idx="8">
                  <c:v>Grilled</c:v>
                </c:pt>
                <c:pt idx="9">
                  <c:v>Burgers</c:v>
                </c:pt>
                <c:pt idx="10">
                  <c:v>Nachos</c:v>
                </c:pt>
                <c:pt idx="11">
                  <c:v>Chicken Starter</c:v>
                </c:pt>
                <c:pt idx="12">
                  <c:v>Hummus &amp; Pita</c:v>
                </c:pt>
                <c:pt idx="13">
                  <c:v>Mushroom Starter</c:v>
                </c:pt>
              </c:strCache>
            </c:strRef>
          </c:cat>
          <c:val>
            <c:numRef>
              <c:f>'Quick Bites Market Analysis'!$C$7:$C$21</c:f>
              <c:numCache>
                <c:formatCode>General</c:formatCode>
                <c:ptCount val="14"/>
                <c:pt idx="0">
                  <c:v>15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0-46E9-A5AC-A57D03C7B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211487"/>
        <c:axId val="1774204767"/>
      </c:barChart>
      <c:catAx>
        <c:axId val="177421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04767"/>
        <c:crosses val="autoZero"/>
        <c:auto val="1"/>
        <c:lblAlgn val="ctr"/>
        <c:lblOffset val="100"/>
        <c:noMultiLvlLbl val="0"/>
      </c:catAx>
      <c:valAx>
        <c:axId val="177420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1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Intern.xlsx]Quick Bites Market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Quick Bite Price Sensitivity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47594050743655E-2"/>
          <c:y val="0.1902314814814815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'Quick Bites Market Analysis'!$H$6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'Quick Bites Market Analysis'!$G$7:$G$12</c:f>
              <c:strCache>
                <c:ptCount val="5"/>
                <c:pt idx="0">
                  <c:v>₹99–199</c:v>
                </c:pt>
                <c:pt idx="1">
                  <c:v>₹200–299</c:v>
                </c:pt>
                <c:pt idx="2">
                  <c:v>₹300–399</c:v>
                </c:pt>
                <c:pt idx="3">
                  <c:v>₹500+</c:v>
                </c:pt>
                <c:pt idx="4">
                  <c:v>₹400-499</c:v>
                </c:pt>
              </c:strCache>
            </c:strRef>
          </c:cat>
          <c:val>
            <c:numRef>
              <c:f>'Quick Bites Market Analysis'!$H$7:$H$12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8-4472-841A-663B4FEA6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2276784"/>
        <c:axId val="1372277744"/>
      </c:barChart>
      <c:catAx>
        <c:axId val="1372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77744"/>
        <c:crosses val="autoZero"/>
        <c:auto val="1"/>
        <c:lblAlgn val="ctr"/>
        <c:lblOffset val="100"/>
        <c:noMultiLvlLbl val="0"/>
      </c:catAx>
      <c:valAx>
        <c:axId val="137227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76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Intern.xlsx]Competitive Pricing &amp; Benchm!PivotTable6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Competitive Pricing Benchmark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'Competitive Pricing &amp; Benchm'!$D$5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'Competitive Pricing &amp; Benchm'!$C$6:$C$15</c:f>
              <c:strCache>
                <c:ptCount val="10"/>
                <c:pt idx="0">
                  <c:v>Perch Wine &amp; Coffee Bar</c:v>
                </c:pt>
                <c:pt idx="1">
                  <c:v>Paul</c:v>
                </c:pt>
                <c:pt idx="2">
                  <c:v>The Coffee Bean &amp; Tea Leaf</c:v>
                </c:pt>
                <c:pt idx="3">
                  <c:v>Starbucks</c:v>
                </c:pt>
                <c:pt idx="4">
                  <c:v>Sardar Ji Bakhsh Coffee</c:v>
                </c:pt>
                <c:pt idx="5">
                  <c:v>Costa Coffee</c:v>
                </c:pt>
                <c:pt idx="6">
                  <c:v>Koby's Coffee,Sandwiches&amp; croissants</c:v>
                </c:pt>
                <c:pt idx="7">
                  <c:v>Beekend</c:v>
                </c:pt>
                <c:pt idx="8">
                  <c:v>Tim Hortons</c:v>
                </c:pt>
                <c:pt idx="9">
                  <c:v>Cafe Belong</c:v>
                </c:pt>
              </c:strCache>
            </c:strRef>
          </c:cat>
          <c:val>
            <c:numRef>
              <c:f>'Competitive Pricing &amp; Benchm'!$D$6:$D$15</c:f>
              <c:numCache>
                <c:formatCode>0.00</c:formatCode>
                <c:ptCount val="10"/>
                <c:pt idx="0">
                  <c:v>505</c:v>
                </c:pt>
                <c:pt idx="1">
                  <c:v>426</c:v>
                </c:pt>
                <c:pt idx="2">
                  <c:v>362.83333333333331</c:v>
                </c:pt>
                <c:pt idx="3">
                  <c:v>320</c:v>
                </c:pt>
                <c:pt idx="4">
                  <c:v>267.66666666666669</c:v>
                </c:pt>
                <c:pt idx="5">
                  <c:v>266.91666666666669</c:v>
                </c:pt>
                <c:pt idx="6">
                  <c:v>255.36363636363637</c:v>
                </c:pt>
                <c:pt idx="7">
                  <c:v>253.77777777777777</c:v>
                </c:pt>
                <c:pt idx="8">
                  <c:v>213.63636363636363</c:v>
                </c:pt>
                <c:pt idx="9">
                  <c:v>177.75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4-4E3D-8A05-62D16C36B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175007"/>
        <c:axId val="1774188927"/>
      </c:barChart>
      <c:catAx>
        <c:axId val="17741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88927"/>
        <c:crosses val="autoZero"/>
        <c:auto val="1"/>
        <c:lblAlgn val="ctr"/>
        <c:lblOffset val="100"/>
        <c:noMultiLvlLbl val="0"/>
      </c:catAx>
      <c:valAx>
        <c:axId val="17741889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7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349624</xdr:colOff>
      <xdr:row>0</xdr:row>
      <xdr:rowOff>161365</xdr:rowOff>
    </xdr:from>
    <xdr:to>
      <xdr:col>6</xdr:col>
      <xdr:colOff>295834</xdr:colOff>
      <xdr:row>17</xdr:row>
      <xdr:rowOff>44825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88D17-4B57-4F84-AF06-A40710B03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430306</xdr:colOff>
      <xdr:row>0</xdr:row>
      <xdr:rowOff>152400</xdr:rowOff>
    </xdr:from>
    <xdr:to>
      <xdr:col>13</xdr:col>
      <xdr:colOff>53788</xdr:colOff>
      <xdr:row>17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DC6C5D-68ED-472E-ACE2-6B6700C56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251012</xdr:colOff>
      <xdr:row>0</xdr:row>
      <xdr:rowOff>134469</xdr:rowOff>
    </xdr:from>
    <xdr:to>
      <xdr:col>20</xdr:col>
      <xdr:colOff>555812</xdr:colOff>
      <xdr:row>17</xdr:row>
      <xdr:rowOff>53788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7E4568-F037-46E1-901F-07AE20066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71718</xdr:colOff>
      <xdr:row>3</xdr:row>
      <xdr:rowOff>8965</xdr:rowOff>
    </xdr:from>
    <xdr:to>
      <xdr:col>19</xdr:col>
      <xdr:colOff>125506</xdr:colOff>
      <xdr:row>4</xdr:row>
      <xdr:rowOff>89648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9ABC2AB-BE52-023E-59B9-C4690E09DFEA}"/>
            </a:ext>
          </a:extLst>
        </xdr:cNvPr>
        <xdr:cNvSpPr txBox="1"/>
      </xdr:nvSpPr>
      <xdr:spPr>
        <a:xfrm>
          <a:off x="9825318" y="546847"/>
          <a:ext cx="1882588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chemeClr val="tx1"/>
              </a:solidFill>
            </a:rPr>
            <a:t>Overall Coffee Sales Trend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349623</xdr:colOff>
      <xdr:row>17</xdr:row>
      <xdr:rowOff>80681</xdr:rowOff>
    </xdr:from>
    <xdr:to>
      <xdr:col>6</xdr:col>
      <xdr:colOff>367553</xdr:colOff>
      <xdr:row>34</xdr:row>
      <xdr:rowOff>71718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529598-FD7C-42E4-9336-BED76420C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466163</xdr:colOff>
      <xdr:row>17</xdr:row>
      <xdr:rowOff>89646</xdr:rowOff>
    </xdr:from>
    <xdr:to>
      <xdr:col>13</xdr:col>
      <xdr:colOff>170329</xdr:colOff>
      <xdr:row>34</xdr:row>
      <xdr:rowOff>44823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128C5F-5029-4BD0-9D51-06BB21052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242047</xdr:colOff>
      <xdr:row>17</xdr:row>
      <xdr:rowOff>80681</xdr:rowOff>
    </xdr:from>
    <xdr:to>
      <xdr:col>20</xdr:col>
      <xdr:colOff>510988</xdr:colOff>
      <xdr:row>34</xdr:row>
      <xdr:rowOff>35859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D63EAA-56D1-4354-B621-5D2A4BB98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K" refreshedDate="46018.882837268517" backgroundQuery="1" createdVersion="8" refreshedVersion="8" minRefreshableVersion="3" recordCount="0" supportSubquery="1" supportAdvancedDrill="1" xr:uid="{21A59C10-CB8C-4178-86DF-7A870F6B4AEE}">
  <cacheSource type="external" connectionId="1"/>
  <cacheFields count="5">
    <cacheField name="[Range].[Item Category].[Item Category]" caption="Item Category" numFmtId="0" hierarchy="3" level="1">
      <sharedItems containsSemiMixedTypes="0" containsNonDate="0" containsString="0"/>
    </cacheField>
    <cacheField name="[Range].[Bestseller Tag].[Bestseller Tag]" caption="Bestseller Tag" numFmtId="0" hierarchy="7" level="1">
      <sharedItems count="2">
        <s v="No"/>
        <s v="Yes"/>
      </sharedItems>
    </cacheField>
    <cacheField name="[Range].[Price].[Price]" caption="Price" numFmtId="0" hierarchy="6" level="1">
      <sharedItems containsSemiMixedTypes="0" containsString="0" containsNumber="1" containsInteger="1" minValue="119" maxValue="385" count="41">
        <n v="119"/>
        <n v="137"/>
        <n v="139"/>
        <n v="142"/>
        <n v="155"/>
        <n v="165"/>
        <n v="168"/>
        <n v="179"/>
        <n v="182"/>
        <n v="185"/>
        <n v="189"/>
        <n v="199"/>
        <n v="210"/>
        <n v="219"/>
        <n v="220"/>
        <n v="229"/>
        <n v="235"/>
        <n v="240"/>
        <n v="250"/>
        <n v="259"/>
        <n v="260"/>
        <n v="265"/>
        <n v="269"/>
        <n v="270"/>
        <n v="275"/>
        <n v="278"/>
        <n v="280"/>
        <n v="285"/>
        <n v="289"/>
        <n v="295"/>
        <n v="300"/>
        <n v="305"/>
        <n v="309"/>
        <n v="315"/>
        <n v="320"/>
        <n v="330"/>
        <n v="335"/>
        <n v="345"/>
        <n v="350"/>
        <n v="378"/>
        <n v="385"/>
      </sharedItems>
      <extLst>
        <ext xmlns:x15="http://schemas.microsoft.com/office/spreadsheetml/2010/11/main" uri="{4F2E5C28-24EA-4eb8-9CBF-B6C8F9C3D259}">
          <x15:cachedUniqueNames>
            <x15:cachedUniqueName index="0" name="[Range].[Price].&amp;[119]"/>
            <x15:cachedUniqueName index="1" name="[Range].[Price].&amp;[137]"/>
            <x15:cachedUniqueName index="2" name="[Range].[Price].&amp;[139]"/>
            <x15:cachedUniqueName index="3" name="[Range].[Price].&amp;[142]"/>
            <x15:cachedUniqueName index="4" name="[Range].[Price].&amp;[155]"/>
            <x15:cachedUniqueName index="5" name="[Range].[Price].&amp;[165]"/>
            <x15:cachedUniqueName index="6" name="[Range].[Price].&amp;[168]"/>
            <x15:cachedUniqueName index="7" name="[Range].[Price].&amp;[179]"/>
            <x15:cachedUniqueName index="8" name="[Range].[Price].&amp;[182]"/>
            <x15:cachedUniqueName index="9" name="[Range].[Price].&amp;[185]"/>
            <x15:cachedUniqueName index="10" name="[Range].[Price].&amp;[189]"/>
            <x15:cachedUniqueName index="11" name="[Range].[Price].&amp;[199]"/>
            <x15:cachedUniqueName index="12" name="[Range].[Price].&amp;[210]"/>
            <x15:cachedUniqueName index="13" name="[Range].[Price].&amp;[219]"/>
            <x15:cachedUniqueName index="14" name="[Range].[Price].&amp;[220]"/>
            <x15:cachedUniqueName index="15" name="[Range].[Price].&amp;[229]"/>
            <x15:cachedUniqueName index="16" name="[Range].[Price].&amp;[235]"/>
            <x15:cachedUniqueName index="17" name="[Range].[Price].&amp;[240]"/>
            <x15:cachedUniqueName index="18" name="[Range].[Price].&amp;[250]"/>
            <x15:cachedUniqueName index="19" name="[Range].[Price].&amp;[259]"/>
            <x15:cachedUniqueName index="20" name="[Range].[Price].&amp;[260]"/>
            <x15:cachedUniqueName index="21" name="[Range].[Price].&amp;[265]"/>
            <x15:cachedUniqueName index="22" name="[Range].[Price].&amp;[269]"/>
            <x15:cachedUniqueName index="23" name="[Range].[Price].&amp;[270]"/>
            <x15:cachedUniqueName index="24" name="[Range].[Price].&amp;[275]"/>
            <x15:cachedUniqueName index="25" name="[Range].[Price].&amp;[278]"/>
            <x15:cachedUniqueName index="26" name="[Range].[Price].&amp;[280]"/>
            <x15:cachedUniqueName index="27" name="[Range].[Price].&amp;[285]"/>
            <x15:cachedUniqueName index="28" name="[Range].[Price].&amp;[289]"/>
            <x15:cachedUniqueName index="29" name="[Range].[Price].&amp;[295]"/>
            <x15:cachedUniqueName index="30" name="[Range].[Price].&amp;[300]"/>
            <x15:cachedUniqueName index="31" name="[Range].[Price].&amp;[305]"/>
            <x15:cachedUniqueName index="32" name="[Range].[Price].&amp;[309]"/>
            <x15:cachedUniqueName index="33" name="[Range].[Price].&amp;[315]"/>
            <x15:cachedUniqueName index="34" name="[Range].[Price].&amp;[320]"/>
            <x15:cachedUniqueName index="35" name="[Range].[Price].&amp;[330]"/>
            <x15:cachedUniqueName index="36" name="[Range].[Price].&amp;[335]"/>
            <x15:cachedUniqueName index="37" name="[Range].[Price].&amp;[345]"/>
            <x15:cachedUniqueName index="38" name="[Range].[Price].&amp;[350]"/>
            <x15:cachedUniqueName index="39" name="[Range].[Price].&amp;[378]"/>
            <x15:cachedUniqueName index="40" name="[Range].[Price].&amp;[385]"/>
          </x15:cachedUniqueNames>
        </ext>
      </extLst>
    </cacheField>
    <cacheField name="[Measures].[Count of Item Name]" caption="Count of Item Name" numFmtId="0" hierarchy="12" level="32767"/>
    <cacheField name="[Range].[Price Bucket].[Price Bucket]" caption="Price Bucket" numFmtId="0" hierarchy="9" level="1">
      <sharedItems count="3">
        <s v="₹200–299"/>
        <s v="₹300–399"/>
        <s v="₹99–199"/>
      </sharedItems>
    </cacheField>
  </cacheFields>
  <cacheHierarchies count="17">
    <cacheHierarchy uniqueName="[Range].[S.No]" caption="S.No" attribute="1" defaultMemberUniqueName="[Range].[S.No].[All]" allUniqueName="[Range].[S.No].[All]" dimensionUniqueName="[Range]" displayFolder="" count="0" memberValueDatatype="20" unbalanced="0"/>
    <cacheHierarchy uniqueName="[Range].[Brand Name]" caption="Brand Name" attribute="1" defaultMemberUniqueName="[Range].[Brand Name].[All]" allUniqueName="[Range].[Brand Name].[All]" dimensionUniqueName="[Range]" displayFolder="" count="0" memberValueDatatype="130" unbalanced="0"/>
    <cacheHierarchy uniqueName="[Range].[Outlet Area]" caption="Outlet Area" attribute="1" defaultMemberUniqueName="[Range].[Outlet Area].[All]" allUniqueName="[Range].[Outlet Area].[All]" dimensionUniqueName="[Range]" displayFolder="" count="0" memberValueDatatype="130" unbalanced="0"/>
    <cacheHierarchy uniqueName="[Range].[Item Category]" caption="Item Category" attribute="1" defaultMemberUniqueName="[Range].[Item Category].[All]" allUniqueName="[Range].[Item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 Type]" caption="Item Type" attribute="1" defaultMemberUniqueName="[Range].[Item Type].[All]" allUniqueName="[Range].[Item Type].[All]" dimensionUniqueName="[Range]" displayFolder="" count="0" memberValueDatatype="130" unbalanced="0"/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2" memberValueDatatype="20" unbalanced="0">
      <fieldsUsage count="2">
        <fieldUsage x="-1"/>
        <fieldUsage x="2"/>
      </fieldsUsage>
    </cacheHierarchy>
    <cacheHierarchy uniqueName="[Range].[Bestseller Tag]" caption="Bestseller Tag" attribute="1" defaultMemberUniqueName="[Range].[Bestseller Tag].[All]" allUniqueName="[Range].[Bestseller Tag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fe Rating]" caption="Cafe Rating" attribute="1" defaultMemberUniqueName="[Range].[Cafe Rating].[All]" allUniqueName="[Range].[Cafe Rating].[All]" dimensionUniqueName="[Range]" displayFolder="" count="0" memberValueDatatype="5" unbalanced="0"/>
    <cacheHierarchy uniqueName="[Range].[Price Bucket]" caption="Price Bucket" attribute="1" defaultMemberUniqueName="[Range].[Price Bucket].[All]" allUniqueName="[Range].[Price Bucket].[All]" dimensionUniqueName="[Range]" displayFolder="" count="2" memberValueDatatype="130" unbalanced="0">
      <fieldsUsage count="2">
        <fieldUsage x="-1"/>
        <fieldUsage x="4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tem Name]" caption="Count of Item Nam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stseller Tag]" caption="Count of Bestseller Tag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ice Bucket]" caption="Count of Price Bucke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K" refreshedDate="46018.883276273147" backgroundQuery="1" createdVersion="8" refreshedVersion="8" minRefreshableVersion="3" recordCount="0" supportSubquery="1" supportAdvancedDrill="1" xr:uid="{3403A493-1F57-438B-940A-8A1D0592FA87}">
  <cacheSource type="external" connectionId="1"/>
  <cacheFields count="4">
    <cacheField name="[Range].[Item Category].[Item Category]" caption="Item Category" numFmtId="0" hierarchy="3" level="1">
      <sharedItems containsSemiMixedTypes="0" containsNonDate="0" containsString="0"/>
    </cacheField>
    <cacheField name="[Range].[Item Type].[Item Type]" caption="Item Type" numFmtId="0" hierarchy="4" level="1">
      <sharedItems count="10">
        <s v="Americanno"/>
        <s v="Cappuccino"/>
        <s v="Cold Coffee"/>
        <s v="Espresso"/>
        <s v="Flavoured Cold Coffee"/>
        <s v="Hot Chocolate"/>
        <s v="Iced Latte"/>
        <s v="Iced Mocha"/>
        <s v="Latte"/>
        <s v="Mocha"/>
      </sharedItems>
    </cacheField>
    <cacheField name="[Measures].[Count of Item Name]" caption="Count of Item Name" numFmtId="0" hierarchy="12" level="32767"/>
    <cacheField name="[Range].[Price Bucket].[Price Bucket]" caption="Price Bucket" numFmtId="0" hierarchy="9" level="1">
      <sharedItems count="3">
        <s v="₹200–299"/>
        <s v="₹300–399"/>
        <s v="₹99–199"/>
      </sharedItems>
    </cacheField>
  </cacheFields>
  <cacheHierarchies count="17">
    <cacheHierarchy uniqueName="[Range].[S.No]" caption="S.No" attribute="1" defaultMemberUniqueName="[Range].[S.No].[All]" allUniqueName="[Range].[S.No].[All]" dimensionUniqueName="[Range]" displayFolder="" count="0" memberValueDatatype="20" unbalanced="0"/>
    <cacheHierarchy uniqueName="[Range].[Brand Name]" caption="Brand Name" attribute="1" defaultMemberUniqueName="[Range].[Brand Name].[All]" allUniqueName="[Range].[Brand Name].[All]" dimensionUniqueName="[Range]" displayFolder="" count="0" memberValueDatatype="130" unbalanced="0"/>
    <cacheHierarchy uniqueName="[Range].[Outlet Area]" caption="Outlet Area" attribute="1" defaultMemberUniqueName="[Range].[Outlet Area].[All]" allUniqueName="[Range].[Outlet Area].[All]" dimensionUniqueName="[Range]" displayFolder="" count="0" memberValueDatatype="130" unbalanced="0"/>
    <cacheHierarchy uniqueName="[Range].[Item Category]" caption="Item Category" attribute="1" defaultMemberUniqueName="[Range].[Item Category].[All]" allUniqueName="[Range].[Item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 Type]" caption="Item Type" attribute="1" defaultMemberUniqueName="[Range].[Item Type].[All]" allUniqueName="[Range].[Item 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Bestseller Tag]" caption="Bestseller Tag" attribute="1" defaultMemberUniqueName="[Range].[Bestseller Tag].[All]" allUniqueName="[Range].[Bestseller Tag].[All]" dimensionUniqueName="[Range]" displayFolder="" count="0" memberValueDatatype="130" unbalanced="0"/>
    <cacheHierarchy uniqueName="[Range].[Cafe Rating]" caption="Cafe Rating" attribute="1" defaultMemberUniqueName="[Range].[Cafe Rating].[All]" allUniqueName="[Range].[Cafe Rating].[All]" dimensionUniqueName="[Range]" displayFolder="" count="0" memberValueDatatype="5" unbalanced="0"/>
    <cacheHierarchy uniqueName="[Range].[Price Bucket]" caption="Price Bucket" attribute="1" defaultMemberUniqueName="[Range].[Price Bucket].[All]" allUniqueName="[Range].[Price Bucket].[All]" dimensionUniqueName="[Range]" displayFolder="" count="2" memberValueDatatype="130" unbalanced="0">
      <fieldsUsage count="2">
        <fieldUsage x="-1"/>
        <fieldUsage x="3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tem Name]" caption="Count of Item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stseller Tag]" caption="Count of Bestseller Tag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ice Bucket]" caption="Count of Price Bucke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K" refreshedDate="46018.871713194443" backgroundQuery="1" createdVersion="8" refreshedVersion="8" minRefreshableVersion="3" recordCount="0" supportSubquery="1" supportAdvancedDrill="1" xr:uid="{2CDC4B19-CDED-433E-912F-37AED8E92DA8}">
  <cacheSource type="external" connectionId="1"/>
  <cacheFields count="3">
    <cacheField name="[Range].[Item Category].[Item Category]" caption="Item Category" numFmtId="0" hierarchy="3" level="1">
      <sharedItems containsSemiMixedTypes="0" containsNonDate="0" containsString="0"/>
    </cacheField>
    <cacheField name="[Range].[Item Type].[Item Type]" caption="Item Type" numFmtId="0" hierarchy="4" level="1">
      <sharedItems count="10">
        <s v="Americanno"/>
        <s v="Cappuccino"/>
        <s v="Cold Coffee"/>
        <s v="Espresso"/>
        <s v="Flavoured Cold Coffee"/>
        <s v="Hot Chocolate"/>
        <s v="Iced Latte"/>
        <s v="Iced Mocha"/>
        <s v="Latte"/>
        <s v="Mocha"/>
      </sharedItems>
    </cacheField>
    <cacheField name="[Measures].[Count of Item Name]" caption="Count of Item Name" numFmtId="0" hierarchy="12" level="32767"/>
  </cacheFields>
  <cacheHierarchies count="17">
    <cacheHierarchy uniqueName="[Range].[S.No]" caption="S.No" attribute="1" defaultMemberUniqueName="[Range].[S.No].[All]" allUniqueName="[Range].[S.No].[All]" dimensionUniqueName="[Range]" displayFolder="" count="0" memberValueDatatype="20" unbalanced="0"/>
    <cacheHierarchy uniqueName="[Range].[Brand Name]" caption="Brand Name" attribute="1" defaultMemberUniqueName="[Range].[Brand Name].[All]" allUniqueName="[Range].[Brand Name].[All]" dimensionUniqueName="[Range]" displayFolder="" count="0" memberValueDatatype="130" unbalanced="0"/>
    <cacheHierarchy uniqueName="[Range].[Outlet Area]" caption="Outlet Area" attribute="1" defaultMemberUniqueName="[Range].[Outlet Area].[All]" allUniqueName="[Range].[Outlet Area].[All]" dimensionUniqueName="[Range]" displayFolder="" count="0" memberValueDatatype="130" unbalanced="0"/>
    <cacheHierarchy uniqueName="[Range].[Item Category]" caption="Item Category" attribute="1" defaultMemberUniqueName="[Range].[Item Category].[All]" allUniqueName="[Range].[Item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 Type]" caption="Item Type" attribute="1" defaultMemberUniqueName="[Range].[Item Type].[All]" allUniqueName="[Range].[Item 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Bestseller Tag]" caption="Bestseller Tag" attribute="1" defaultMemberUniqueName="[Range].[Bestseller Tag].[All]" allUniqueName="[Range].[Bestseller Tag].[All]" dimensionUniqueName="[Range]" displayFolder="" count="0" memberValueDatatype="130" unbalanced="0"/>
    <cacheHierarchy uniqueName="[Range].[Cafe Rating]" caption="Cafe Rating" attribute="1" defaultMemberUniqueName="[Range].[Cafe Rating].[All]" allUniqueName="[Range].[Cafe Rating].[All]" dimensionUniqueName="[Range]" displayFolder="" count="0" memberValueDatatype="5" unbalanced="0"/>
    <cacheHierarchy uniqueName="[Range].[Price Bucket]" caption="Price Bucket" attribute="1" defaultMemberUniqueName="[Range].[Price Bucket].[All]" allUniqueName="[Range].[Price 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tem Name]" caption="Count of Item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stseller Tag]" caption="Count of Bestseller Tag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ice Bucket]" caption="Count of Price Bucke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K" refreshedDate="46018.892903587963" backgroundQuery="1" createdVersion="8" refreshedVersion="8" minRefreshableVersion="3" recordCount="0" supportSubquery="1" supportAdvancedDrill="1" xr:uid="{46E65CCB-6ACB-4CD9-9009-1E262E7F3526}">
  <cacheSource type="external" connectionId="1"/>
  <cacheFields count="4">
    <cacheField name="[Range].[Item Category].[Item Category]" caption="Item Category" numFmtId="0" hierarchy="3" level="1">
      <sharedItems containsSemiMixedTypes="0" containsNonDate="0" containsString="0"/>
    </cacheField>
    <cacheField name="[Range].[Item Type].[Item Type]" caption="Item Type" numFmtId="0" hierarchy="4" level="1">
      <sharedItems count="14">
        <s v="Bruschetta"/>
        <s v="Burgers"/>
        <s v="Chicken Starter"/>
        <s v="Croissant"/>
        <s v="Doughnut"/>
        <s v="Fries"/>
        <s v="Garlic Bread"/>
        <s v="Grilled"/>
        <s v="Hummus &amp; Pita"/>
        <s v="Mushroom Starter"/>
        <s v="Nachos"/>
        <s v="Pizza"/>
        <s v="Sandwich"/>
        <s v="Toast"/>
      </sharedItems>
    </cacheField>
    <cacheField name="[Measures].[Count of Item Name]" caption="Count of Item Name" numFmtId="0" hierarchy="12" level="32767"/>
    <cacheField name="[Range].[Price Bucket].[Price Bucket]" caption="Price Bucket" numFmtId="0" hierarchy="9" level="1">
      <sharedItems count="5">
        <s v="₹200–299"/>
        <s v="₹300–399"/>
        <s v="₹400-499"/>
        <s v="₹500+"/>
        <s v="₹99–199"/>
      </sharedItems>
    </cacheField>
  </cacheFields>
  <cacheHierarchies count="17">
    <cacheHierarchy uniqueName="[Range].[S.No]" caption="S.No" attribute="1" defaultMemberUniqueName="[Range].[S.No].[All]" allUniqueName="[Range].[S.No].[All]" dimensionUniqueName="[Range]" displayFolder="" count="0" memberValueDatatype="20" unbalanced="0"/>
    <cacheHierarchy uniqueName="[Range].[Brand Name]" caption="Brand Name" attribute="1" defaultMemberUniqueName="[Range].[Brand Name].[All]" allUniqueName="[Range].[Brand Name].[All]" dimensionUniqueName="[Range]" displayFolder="" count="0" memberValueDatatype="130" unbalanced="0"/>
    <cacheHierarchy uniqueName="[Range].[Outlet Area]" caption="Outlet Area" attribute="1" defaultMemberUniqueName="[Range].[Outlet Area].[All]" allUniqueName="[Range].[Outlet Area].[All]" dimensionUniqueName="[Range]" displayFolder="" count="0" memberValueDatatype="130" unbalanced="0"/>
    <cacheHierarchy uniqueName="[Range].[Item Category]" caption="Item Category" attribute="1" defaultMemberUniqueName="[Range].[Item Category].[All]" allUniqueName="[Range].[Item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 Type]" caption="Item Type" attribute="1" defaultMemberUniqueName="[Range].[Item Type].[All]" allUniqueName="[Range].[Item 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Bestseller Tag]" caption="Bestseller Tag" attribute="1" defaultMemberUniqueName="[Range].[Bestseller Tag].[All]" allUniqueName="[Range].[Bestseller Tag].[All]" dimensionUniqueName="[Range]" displayFolder="" count="0" memberValueDatatype="130" unbalanced="0"/>
    <cacheHierarchy uniqueName="[Range].[Cafe Rating]" caption="Cafe Rating" attribute="1" defaultMemberUniqueName="[Range].[Cafe Rating].[All]" allUniqueName="[Range].[Cafe Rating].[All]" dimensionUniqueName="[Range]" displayFolder="" count="0" memberValueDatatype="5" unbalanced="0"/>
    <cacheHierarchy uniqueName="[Range].[Price Bucket]" caption="Price Bucket" attribute="1" defaultMemberUniqueName="[Range].[Price Bucket].[All]" allUniqueName="[Range].[Price Bucket].[All]" dimensionUniqueName="[Range]" displayFolder="" count="2" memberValueDatatype="130" unbalanced="0">
      <fieldsUsage count="2">
        <fieldUsage x="-1"/>
        <fieldUsage x="3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tem Name]" caption="Count of Item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stseller Tag]" caption="Count of Bestseller Tag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ice Bucket]" caption="Count of Price Bucke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K" refreshedDate="46018.890765393517" backgroundQuery="1" createdVersion="8" refreshedVersion="8" minRefreshableVersion="3" recordCount="0" supportSubquery="1" supportAdvancedDrill="1" xr:uid="{5BE7BA82-5DF1-4E29-8B8C-A506F8567542}">
  <cacheSource type="external" connectionId="1"/>
  <cacheFields count="3">
    <cacheField name="[Range].[Item Category].[Item Category]" caption="Item Category" numFmtId="0" hierarchy="3" level="1">
      <sharedItems containsSemiMixedTypes="0" containsNonDate="0" containsString="0"/>
    </cacheField>
    <cacheField name="[Range].[Item Type].[Item Type]" caption="Item Type" numFmtId="0" hierarchy="4" level="1">
      <sharedItems count="14">
        <s v="Bruschetta"/>
        <s v="Burgers"/>
        <s v="Chicken Starter"/>
        <s v="Croissant"/>
        <s v="Doughnut"/>
        <s v="Fries"/>
        <s v="Garlic Bread"/>
        <s v="Grilled"/>
        <s v="Hummus &amp; Pita"/>
        <s v="Mushroom Starter"/>
        <s v="Nachos"/>
        <s v="Pizza"/>
        <s v="Sandwich"/>
        <s v="Toast"/>
      </sharedItems>
    </cacheField>
    <cacheField name="[Measures].[Count of Item Name]" caption="Count of Item Name" numFmtId="0" hierarchy="12" level="32767"/>
  </cacheFields>
  <cacheHierarchies count="17">
    <cacheHierarchy uniqueName="[Range].[S.No]" caption="S.No" attribute="1" defaultMemberUniqueName="[Range].[S.No].[All]" allUniqueName="[Range].[S.No].[All]" dimensionUniqueName="[Range]" displayFolder="" count="0" memberValueDatatype="20" unbalanced="0"/>
    <cacheHierarchy uniqueName="[Range].[Brand Name]" caption="Brand Name" attribute="1" defaultMemberUniqueName="[Range].[Brand Name].[All]" allUniqueName="[Range].[Brand Name].[All]" dimensionUniqueName="[Range]" displayFolder="" count="0" memberValueDatatype="130" unbalanced="0"/>
    <cacheHierarchy uniqueName="[Range].[Outlet Area]" caption="Outlet Area" attribute="1" defaultMemberUniqueName="[Range].[Outlet Area].[All]" allUniqueName="[Range].[Outlet Area].[All]" dimensionUniqueName="[Range]" displayFolder="" count="0" memberValueDatatype="130" unbalanced="0"/>
    <cacheHierarchy uniqueName="[Range].[Item Category]" caption="Item Category" attribute="1" defaultMemberUniqueName="[Range].[Item Category].[All]" allUniqueName="[Range].[Item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 Type]" caption="Item Type" attribute="1" defaultMemberUniqueName="[Range].[Item Type].[All]" allUniqueName="[Range].[Item 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Bestseller Tag]" caption="Bestseller Tag" attribute="1" defaultMemberUniqueName="[Range].[Bestseller Tag].[All]" allUniqueName="[Range].[Bestseller Tag].[All]" dimensionUniqueName="[Range]" displayFolder="" count="0" memberValueDatatype="130" unbalanced="0"/>
    <cacheHierarchy uniqueName="[Range].[Cafe Rating]" caption="Cafe Rating" attribute="1" defaultMemberUniqueName="[Range].[Cafe Rating].[All]" allUniqueName="[Range].[Cafe Rating].[All]" dimensionUniqueName="[Range]" displayFolder="" count="0" memberValueDatatype="5" unbalanced="0"/>
    <cacheHierarchy uniqueName="[Range].[Price Bucket]" caption="Price Bucket" attribute="1" defaultMemberUniqueName="[Range].[Price Bucket].[All]" allUniqueName="[Range].[Price 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tem Name]" caption="Count of Item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stseller Tag]" caption="Count of Bestseller Tag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ice Bucket]" caption="Count of Price Bucke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K" refreshedDate="46018.912353356478" createdVersion="8" refreshedVersion="8" minRefreshableVersion="3" recordCount="132" xr:uid="{B4C74C5B-7BF6-4CA7-8011-702875E0F8F6}">
  <cacheSource type="worksheet">
    <worksheetSource ref="A1:J1048576" sheet="Raw Data"/>
  </cacheSource>
  <cacheFields count="10">
    <cacheField name="S.No" numFmtId="0">
      <sharedItems containsString="0" containsBlank="1" containsNumber="1" containsInteger="1" minValue="1" maxValue="131"/>
    </cacheField>
    <cacheField name="Brand Name" numFmtId="0">
      <sharedItems containsBlank="1"/>
    </cacheField>
    <cacheField name="Outlet Area" numFmtId="0">
      <sharedItems containsBlank="1"/>
    </cacheField>
    <cacheField name="Item Category" numFmtId="0">
      <sharedItems containsBlank="1" count="3">
        <s v="Coffee"/>
        <s v="Quick Bite"/>
        <m/>
      </sharedItems>
    </cacheField>
    <cacheField name="Item Type" numFmtId="0">
      <sharedItems containsBlank="1"/>
    </cacheField>
    <cacheField name="Item Name" numFmtId="0">
      <sharedItems containsBlank="1"/>
    </cacheField>
    <cacheField name="Price" numFmtId="0">
      <sharedItems containsString="0" containsBlank="1" containsNumber="1" containsInteger="1" minValue="119" maxValue="1425"/>
    </cacheField>
    <cacheField name="Bestseller Tag" numFmtId="0">
      <sharedItems containsBlank="1"/>
    </cacheField>
    <cacheField name="Cafe Rating" numFmtId="0">
      <sharedItems containsString="0" containsBlank="1" containsNumber="1" minValue="4.0999999999999996" maxValue="4.9000000000000004"/>
    </cacheField>
    <cacheField name="Price Bucket" numFmtId="0">
      <sharedItems containsBlank="1" count="6">
        <s v="₹99–199"/>
        <s v="₹200–299"/>
        <s v="₹300–399"/>
        <s v="₹500+"/>
        <s v="₹400-4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K" refreshedDate="46018.942985300928" backgroundQuery="1" createdVersion="8" refreshedVersion="8" minRefreshableVersion="3" recordCount="0" supportSubquery="1" supportAdvancedDrill="1" xr:uid="{43BF1471-25BF-4542-A935-CF2AF498B3F2}">
  <cacheSource type="external" connectionId="1"/>
  <cacheFields count="2">
    <cacheField name="[Range].[Brand Name].[Brand Name]" caption="Brand Name" numFmtId="0" hierarchy="1" level="1">
      <sharedItems count="10">
        <s v="Beekend"/>
        <s v="Cafe Belong"/>
        <s v="Costa Coffee"/>
        <s v="Koby's Coffee,Sandwiches&amp; croissants"/>
        <s v="Paul"/>
        <s v="Perch Wine &amp; Coffee Bar"/>
        <s v="Sardar Ji Bakhsh Coffee"/>
        <s v="Starbucks"/>
        <s v="The Coffee Bean &amp; Tea Leaf"/>
        <s v="Tim Hortons"/>
      </sharedItems>
    </cacheField>
    <cacheField name="[Measures].[Average of Price]" caption="Average of Price" numFmtId="0" hierarchy="16" level="32767"/>
  </cacheFields>
  <cacheHierarchies count="17">
    <cacheHierarchy uniqueName="[Range].[S.No]" caption="S.No" attribute="1" defaultMemberUniqueName="[Range].[S.No].[All]" allUniqueName="[Range].[S.No].[All]" dimensionUniqueName="[Range]" displayFolder="" count="0" memberValueDatatype="20" unbalanced="0"/>
    <cacheHierarchy uniqueName="[Range].[Brand Name]" caption="Brand Name" attribute="1" defaultMemberUniqueName="[Range].[Brand Name].[All]" allUniqueName="[Range].[Brand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utlet Area]" caption="Outlet Area" attribute="1" defaultMemberUniqueName="[Range].[Outlet Area].[All]" allUniqueName="[Range].[Outlet Area].[All]" dimensionUniqueName="[Range]" displayFolder="" count="0" memberValueDatatype="130" unbalanced="0"/>
    <cacheHierarchy uniqueName="[Range].[Item Category]" caption="Item Category" attribute="1" defaultMemberUniqueName="[Range].[Item Category].[All]" allUniqueName="[Range].[Item Category].[All]" dimensionUniqueName="[Range]" displayFolder="" count="0" memberValueDatatype="130" unbalanced="0"/>
    <cacheHierarchy uniqueName="[Range].[Item Type]" caption="Item Type" attribute="1" defaultMemberUniqueName="[Range].[Item Type].[All]" allUniqueName="[Range].[Item Type].[All]" dimensionUniqueName="[Range]" displayFolder="" count="0" memberValueDatatype="130" unbalanced="0"/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Bestseller Tag]" caption="Bestseller Tag" attribute="1" defaultMemberUniqueName="[Range].[Bestseller Tag].[All]" allUniqueName="[Range].[Bestseller Tag].[All]" dimensionUniqueName="[Range]" displayFolder="" count="0" memberValueDatatype="130" unbalanced="0"/>
    <cacheHierarchy uniqueName="[Range].[Cafe Rating]" caption="Cafe Rating" attribute="1" defaultMemberUniqueName="[Range].[Cafe Rating].[All]" allUniqueName="[Range].[Cafe Rating].[All]" dimensionUniqueName="[Range]" displayFolder="" count="0" memberValueDatatype="5" unbalanced="0"/>
    <cacheHierarchy uniqueName="[Range].[Price Bucket]" caption="Price Bucket" attribute="1" defaultMemberUniqueName="[Range].[Price Bucket].[All]" allUniqueName="[Range].[Price 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tem Name]" caption="Count of Item 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stseller Tag]" caption="Count of Bestseller Tag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ice Bucket]" caption="Count of Price Bucke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1"/>
    <s v="Cafe Belong"/>
    <s v="Sector 62, Golf Course Extension"/>
    <x v="0"/>
    <s v="Espresso"/>
    <s v="Espresso"/>
    <n v="119"/>
    <s v="Yes"/>
    <n v="4.9000000000000004"/>
    <x v="0"/>
  </r>
  <r>
    <n v="2"/>
    <s v="Cafe Belong"/>
    <s v="Sector 62, Golf Course Extension"/>
    <x v="0"/>
    <s v="Americanno"/>
    <s v="Americanno"/>
    <n v="139"/>
    <s v="No"/>
    <n v="4.9000000000000004"/>
    <x v="0"/>
  </r>
  <r>
    <n v="3"/>
    <s v="Cafe Belong"/>
    <s v="Sector 62, Golf Course Extension"/>
    <x v="0"/>
    <s v="Cappuccino"/>
    <s v="Cappuccino"/>
    <n v="179"/>
    <s v="Yes"/>
    <n v="4.9000000000000004"/>
    <x v="0"/>
  </r>
  <r>
    <n v="4"/>
    <s v="Cafe Belong"/>
    <s v="Sector 62, Golf Course Extension"/>
    <x v="0"/>
    <s v="Latte"/>
    <s v="Cafe Latte"/>
    <n v="179"/>
    <s v="Yes"/>
    <n v="4.9000000000000004"/>
    <x v="0"/>
  </r>
  <r>
    <n v="5"/>
    <s v="Cafe Belong"/>
    <s v="Sector 62, Golf Course Extension"/>
    <x v="0"/>
    <s v="Mocha"/>
    <s v="Cafe Mocha"/>
    <n v="179"/>
    <s v="Yes"/>
    <n v="4.9000000000000004"/>
    <x v="0"/>
  </r>
  <r>
    <n v="6"/>
    <s v="Cafe Belong"/>
    <s v="Sector 62, Golf Course Extension"/>
    <x v="0"/>
    <s v="Hot Chocolate"/>
    <s v="Hot Chocolate"/>
    <n v="199"/>
    <s v="Yes"/>
    <n v="4.9000000000000004"/>
    <x v="0"/>
  </r>
  <r>
    <n v="7"/>
    <s v="Cafe Belong"/>
    <s v="Sector 62, Golf Course Extension"/>
    <x v="0"/>
    <s v="Cold Coffee"/>
    <s v="Classic Cold Coffee"/>
    <n v="179"/>
    <s v="No"/>
    <n v="4.9000000000000004"/>
    <x v="0"/>
  </r>
  <r>
    <n v="8"/>
    <s v="Cafe Belong"/>
    <s v="Sector 62, Golf Course Extension"/>
    <x v="0"/>
    <s v="Iced Latte"/>
    <s v="Iced Latte"/>
    <n v="179"/>
    <s v="No"/>
    <n v="4.9000000000000004"/>
    <x v="0"/>
  </r>
  <r>
    <n v="9"/>
    <s v="Cafe Belong"/>
    <s v="Sector 62, Golf Course Extension"/>
    <x v="0"/>
    <s v="Iced Mocha"/>
    <s v="Iced Mocha"/>
    <n v="179"/>
    <s v="Yes"/>
    <n v="4.9000000000000004"/>
    <x v="0"/>
  </r>
  <r>
    <n v="10"/>
    <s v="Cafe Belong"/>
    <s v="Sector 62, Golf Course Extension"/>
    <x v="0"/>
    <s v="Flavoured Cold Coffee"/>
    <s v="Hazelnut Cold Coffee"/>
    <n v="189"/>
    <s v="Yes"/>
    <n v="4.9000000000000004"/>
    <x v="0"/>
  </r>
  <r>
    <n v="11"/>
    <s v="Cafe Belong"/>
    <s v="Sector 62, Golf Course Extension"/>
    <x v="1"/>
    <s v="Fries"/>
    <s v="French Fries (Salted)"/>
    <n v="119"/>
    <s v="Yes"/>
    <n v="4.9000000000000004"/>
    <x v="0"/>
  </r>
  <r>
    <n v="12"/>
    <s v="Cafe Belong"/>
    <s v="Sector 62, Golf Course Extension"/>
    <x v="1"/>
    <s v="Fries"/>
    <s v="French Fries (Peri Peri)"/>
    <n v="129"/>
    <s v="Yes"/>
    <n v="4.9000000000000004"/>
    <x v="0"/>
  </r>
  <r>
    <n v="13"/>
    <s v="Cafe Belong"/>
    <s v="Sector 62, Golf Course Extension"/>
    <x v="1"/>
    <s v="Fries"/>
    <s v="French Fries (Loaded)"/>
    <n v="149"/>
    <s v="No"/>
    <n v="4.9000000000000004"/>
    <x v="0"/>
  </r>
  <r>
    <n v="14"/>
    <s v="Cafe Belong"/>
    <s v="Sector 62, Golf Course Extension"/>
    <x v="1"/>
    <s v="Bruschetta"/>
    <s v="Tomato &amp; Basil Bruschetta"/>
    <n v="199"/>
    <s v="No"/>
    <n v="4.9000000000000004"/>
    <x v="0"/>
  </r>
  <r>
    <n v="15"/>
    <s v="Cafe Belong"/>
    <s v="Sector 62, Golf Course Extension"/>
    <x v="1"/>
    <s v="Bruschetta"/>
    <s v="Cheese &amp; Mushroom Bruschetta"/>
    <n v="199"/>
    <s v="No"/>
    <n v="4.9000000000000004"/>
    <x v="0"/>
  </r>
  <r>
    <n v="16"/>
    <s v="Cafe Belong"/>
    <s v="Sector 62, Golf Course Extension"/>
    <x v="1"/>
    <s v="Bruschetta"/>
    <s v="Cheese &amp; Chicken Bruschetta"/>
    <n v="219"/>
    <s v="Yes"/>
    <n v="4.9000000000000004"/>
    <x v="1"/>
  </r>
  <r>
    <n v="17"/>
    <s v="Cafe Belong"/>
    <s v="Sector 62, Golf Course Extension"/>
    <x v="1"/>
    <s v="Bruschetta"/>
    <s v="Pesta Chicken Bruschetta"/>
    <n v="219"/>
    <s v="No"/>
    <n v="4.9000000000000004"/>
    <x v="1"/>
  </r>
  <r>
    <n v="18"/>
    <s v="Cafe Belong"/>
    <s v="Sector 62, Golf Course Extension"/>
    <x v="1"/>
    <s v="Garlic Bread"/>
    <s v="Garlic  Bread"/>
    <n v="129"/>
    <s v="No"/>
    <n v="4.9000000000000004"/>
    <x v="0"/>
  </r>
  <r>
    <n v="19"/>
    <s v="Cafe Belong"/>
    <s v="Sector 62, Golf Course Extension"/>
    <x v="1"/>
    <s v="Garlic Bread"/>
    <s v="Garlic Bread with Cheese"/>
    <n v="169"/>
    <s v="No"/>
    <n v="4.9000000000000004"/>
    <x v="0"/>
  </r>
  <r>
    <n v="20"/>
    <s v="Cafe Belong"/>
    <s v="Sector 62, Golf Course Extension"/>
    <x v="1"/>
    <s v="Garlic Bread"/>
    <s v="Garlic Bread with Cheese &amp; Veggies"/>
    <n v="199"/>
    <s v="Yes"/>
    <n v="4.9000000000000004"/>
    <x v="0"/>
  </r>
  <r>
    <n v="21"/>
    <s v="Cafe Belong"/>
    <s v="Sector 62, Golf Course Extension"/>
    <x v="1"/>
    <s v="Nachos"/>
    <s v="Baked Nachos"/>
    <n v="199"/>
    <s v="Yes"/>
    <n v="4.9000000000000004"/>
    <x v="0"/>
  </r>
  <r>
    <n v="22"/>
    <s v="Cafe Belong"/>
    <s v="Sector 62, Golf Course Extension"/>
    <x v="1"/>
    <s v="Hummus &amp; Pita"/>
    <s v="Hummus and Pita"/>
    <n v="169"/>
    <s v="Yes"/>
    <n v="4.9000000000000004"/>
    <x v="0"/>
  </r>
  <r>
    <n v="23"/>
    <s v="Cafe Belong"/>
    <s v="Sector 62, Golf Course Extension"/>
    <x v="1"/>
    <s v="Mushroom Starter"/>
    <s v="Twisty Mushrooms"/>
    <n v="199"/>
    <s v="No"/>
    <n v="4.9000000000000004"/>
    <x v="0"/>
  </r>
  <r>
    <n v="24"/>
    <s v="Cafe Belong"/>
    <s v="Sector 62, Golf Course Extension"/>
    <x v="1"/>
    <s v="Chicken Starter"/>
    <s v="Chicken Chips"/>
    <n v="249"/>
    <s v="Yes"/>
    <n v="4.9000000000000004"/>
    <x v="1"/>
  </r>
  <r>
    <n v="25"/>
    <s v="Koby's Coffee,Sandwiches&amp; croissants"/>
    <s v="Block C, Sushant Lok"/>
    <x v="0"/>
    <s v="Cappuccino"/>
    <s v="Cappuccino"/>
    <n v="219"/>
    <s v="Yes"/>
    <n v="4.5999999999999996"/>
    <x v="1"/>
  </r>
  <r>
    <n v="26"/>
    <s v="Koby's Coffee,Sandwiches&amp; croissants"/>
    <s v="Block C, Sushant Lok"/>
    <x v="0"/>
    <s v="Latte"/>
    <s v="Latte"/>
    <n v="219"/>
    <s v="No"/>
    <n v="4.5999999999999996"/>
    <x v="1"/>
  </r>
  <r>
    <n v="27"/>
    <s v="Koby's Coffee,Sandwiches&amp; croissants"/>
    <s v="Block C, Sushant Lok"/>
    <x v="0"/>
    <s v="Flavoured Cold Coffee"/>
    <s v="Hazelnut Icedpresso"/>
    <n v="269"/>
    <s v="Yes"/>
    <n v="4.5999999999999996"/>
    <x v="1"/>
  </r>
  <r>
    <n v="28"/>
    <s v="Koby's Coffee,Sandwiches&amp; croissants"/>
    <s v="Block C, Sushant Lok"/>
    <x v="0"/>
    <s v="Flavoured Cold Coffee"/>
    <s v="Caramel Icedpresso"/>
    <n v="269"/>
    <s v="Yes"/>
    <n v="4.5999999999999996"/>
    <x v="1"/>
  </r>
  <r>
    <n v="29"/>
    <s v="Koby's Coffee,Sandwiches&amp; croissants"/>
    <s v="Block C, Sushant Lok"/>
    <x v="0"/>
    <s v="Americanno"/>
    <s v="Americanno"/>
    <n v="229"/>
    <s v="Yes"/>
    <n v="4.5999999999999996"/>
    <x v="1"/>
  </r>
  <r>
    <n v="30"/>
    <s v="Koby's Coffee,Sandwiches&amp; croissants"/>
    <s v="Block C, Sushant Lok"/>
    <x v="0"/>
    <s v="Espresso"/>
    <s v="Espresso"/>
    <n v="229"/>
    <s v="No"/>
    <n v="4.5999999999999996"/>
    <x v="1"/>
  </r>
  <r>
    <n v="31"/>
    <s v="Koby's Coffee,Sandwiches&amp; croissants"/>
    <s v="Block C, Sushant Lok"/>
    <x v="1"/>
    <s v="Sandwich"/>
    <s v="Chipotle Chicken"/>
    <n v="369"/>
    <s v="Yes"/>
    <n v="4.5999999999999996"/>
    <x v="2"/>
  </r>
  <r>
    <n v="32"/>
    <s v="Koby's Coffee,Sandwiches&amp; croissants"/>
    <s v="Block C, Sushant Lok"/>
    <x v="1"/>
    <s v="Sandwich"/>
    <s v="Mushrooms &amp; Cheese Melt"/>
    <n v="369"/>
    <s v="No"/>
    <n v="4.5999999999999996"/>
    <x v="2"/>
  </r>
  <r>
    <n v="33"/>
    <s v="Koby's Coffee,Sandwiches&amp; croissants"/>
    <s v="Block C, Sushant Lok"/>
    <x v="0"/>
    <s v="Flavoured Cold Coffee"/>
    <s v="Iced Americano"/>
    <n v="219"/>
    <s v="Yes"/>
    <n v="4.5999999999999996"/>
    <x v="1"/>
  </r>
  <r>
    <n v="34"/>
    <s v="Koby's Coffee,Sandwiches&amp; croissants"/>
    <s v="Block C, Sushant Lok"/>
    <x v="0"/>
    <s v="Mocha"/>
    <s v="Iced Mocha"/>
    <n v="259"/>
    <s v="No"/>
    <n v="4.5999999999999996"/>
    <x v="1"/>
  </r>
  <r>
    <n v="35"/>
    <s v="Koby's Coffee,Sandwiches&amp; croissants"/>
    <s v="Block C, Sushant Lok"/>
    <x v="1"/>
    <s v="Doughnut"/>
    <s v="Custard Doughnut"/>
    <n v="159"/>
    <s v="No"/>
    <n v="4.5999999999999996"/>
    <x v="0"/>
  </r>
  <r>
    <n v="36"/>
    <s v="Perch Wine &amp; Coffee Bar"/>
    <s v="Vasat Vihar"/>
    <x v="0"/>
    <s v="Cappuccino"/>
    <s v="Cappuccino"/>
    <n v="285"/>
    <s v="Yes"/>
    <n v="4.5"/>
    <x v="1"/>
  </r>
  <r>
    <n v="37"/>
    <s v="Perch Wine &amp; Coffee Bar"/>
    <s v="Vasat Vihar"/>
    <x v="0"/>
    <s v="Latte"/>
    <s v="Latte"/>
    <n v="285"/>
    <s v="Yes"/>
    <n v="4.5"/>
    <x v="1"/>
  </r>
  <r>
    <n v="38"/>
    <s v="Perch Wine &amp; Coffee Bar"/>
    <s v="Vasat Vihar"/>
    <x v="0"/>
    <s v="Americanno"/>
    <s v="Americanno"/>
    <n v="285"/>
    <s v="Yes"/>
    <n v="4.5"/>
    <x v="1"/>
  </r>
  <r>
    <n v="39"/>
    <s v="Perch Wine &amp; Coffee Bar"/>
    <s v="Vasat Vihar"/>
    <x v="0"/>
    <s v="Mocha"/>
    <s v="Cafe Mocha"/>
    <n v="345"/>
    <s v="Yes"/>
    <n v="4.5"/>
    <x v="2"/>
  </r>
  <r>
    <n v="40"/>
    <s v="Perch Wine &amp; Coffee Bar"/>
    <s v="Vasat Vihar"/>
    <x v="0"/>
    <s v="Espresso"/>
    <s v="Espresso"/>
    <n v="235"/>
    <s v="No"/>
    <n v="4.5"/>
    <x v="1"/>
  </r>
  <r>
    <n v="41"/>
    <s v="Perch Wine &amp; Coffee Bar"/>
    <s v="Vasat Vihar"/>
    <x v="0"/>
    <s v="Cold Coffee"/>
    <s v="Cold Coffee"/>
    <n v="345"/>
    <s v="Yes"/>
    <n v="4.5"/>
    <x v="2"/>
  </r>
  <r>
    <n v="42"/>
    <s v="Perch Wine &amp; Coffee Bar"/>
    <s v="Vasat Vihar"/>
    <x v="1"/>
    <s v="Grilled"/>
    <s v="Miso Grilled Chicken"/>
    <n v="875"/>
    <s v="Yes"/>
    <n v="4.5"/>
    <x v="3"/>
  </r>
  <r>
    <n v="43"/>
    <s v="Perch Wine &amp; Coffee Bar"/>
    <s v="Vasat Vihar"/>
    <x v="1"/>
    <s v="Grilled"/>
    <s v="Grilled Norwegian Salmon"/>
    <n v="1425"/>
    <s v="Yes"/>
    <n v="4.5"/>
    <x v="3"/>
  </r>
  <r>
    <n v="44"/>
    <s v="Perch Wine &amp; Coffee Bar"/>
    <s v="Vasat Vihar"/>
    <x v="1"/>
    <s v="Sandwich"/>
    <s v="Greek Style Roast Chicken Sandwich"/>
    <n v="575"/>
    <s v="No"/>
    <n v="4.5"/>
    <x v="3"/>
  </r>
  <r>
    <n v="45"/>
    <s v="Perch Wine &amp; Coffee Bar"/>
    <s v="Vasat Vihar"/>
    <x v="1"/>
    <s v="Fries"/>
    <s v="Cassava Chips"/>
    <n v="395"/>
    <s v="Yes"/>
    <n v="4.5"/>
    <x v="2"/>
  </r>
  <r>
    <n v="46"/>
    <s v="Paul"/>
    <s v="DLF Phase 3"/>
    <x v="0"/>
    <s v="Cappuccino"/>
    <s v="Cappuccino"/>
    <n v="280"/>
    <s v="Yes"/>
    <n v="4.3"/>
    <x v="1"/>
  </r>
  <r>
    <n v="47"/>
    <s v="Paul"/>
    <s v="DLF Phase 4"/>
    <x v="0"/>
    <s v="Mocha"/>
    <s v="Cafe Mocha"/>
    <n v="315"/>
    <s v="No"/>
    <n v="4.3"/>
    <x v="2"/>
  </r>
  <r>
    <n v="48"/>
    <s v="Paul"/>
    <s v="DLF Phase 5"/>
    <x v="0"/>
    <s v="Americanno"/>
    <s v="Americanno"/>
    <n v="265"/>
    <s v="No"/>
    <n v="4.3"/>
    <x v="1"/>
  </r>
  <r>
    <n v="49"/>
    <s v="Paul"/>
    <s v="DLF Phase 6"/>
    <x v="0"/>
    <s v="Latte"/>
    <s v="Latte"/>
    <n v="285"/>
    <s v="No"/>
    <n v="4.3"/>
    <x v="1"/>
  </r>
  <r>
    <n v="50"/>
    <s v="Paul"/>
    <s v="DLF Phase 7"/>
    <x v="1"/>
    <s v="Sandwich"/>
    <s v="Spiced Chicken Brioche Sandwich"/>
    <n v="450"/>
    <s v="Yes"/>
    <n v="4.3"/>
    <x v="4"/>
  </r>
  <r>
    <n v="51"/>
    <s v="Paul"/>
    <s v="DLF Phase 8"/>
    <x v="1"/>
    <s v="Pizza"/>
    <s v="Pepperoni Pizza"/>
    <n v="695"/>
    <s v="Yes"/>
    <n v="4.3"/>
    <x v="3"/>
  </r>
  <r>
    <n v="52"/>
    <s v="Paul"/>
    <s v="DLF Phase 9"/>
    <x v="1"/>
    <s v="Pizza"/>
    <s v="Margherita Pizza"/>
    <n v="584"/>
    <s v="Yes"/>
    <n v="4.3"/>
    <x v="3"/>
  </r>
  <r>
    <n v="53"/>
    <s v="Paul"/>
    <s v="DLF Phase 10"/>
    <x v="1"/>
    <s v="Pizza"/>
    <s v="Primavera"/>
    <n v="625"/>
    <s v="No"/>
    <n v="4.3"/>
    <x v="3"/>
  </r>
  <r>
    <n v="54"/>
    <s v="Paul"/>
    <s v="DLF Phase 11"/>
    <x v="0"/>
    <s v="Cold Coffee"/>
    <s v="Cold Coffee"/>
    <n v="335"/>
    <s v="Yes"/>
    <n v="4.3"/>
    <x v="2"/>
  </r>
  <r>
    <n v="55"/>
    <s v="The Coffee Bean &amp; Tea Leaf"/>
    <s v="Sector 28,Mehrauli Road"/>
    <x v="0"/>
    <s v="Cappuccino"/>
    <s v="Cappuccino"/>
    <n v="275"/>
    <s v="Yes"/>
    <n v="4.3"/>
    <x v="1"/>
  </r>
  <r>
    <n v="56"/>
    <s v="The Coffee Bean &amp; Tea Leaf"/>
    <s v="Sector 28,Mehrauli Road"/>
    <x v="0"/>
    <s v="Latte"/>
    <s v="Latte"/>
    <n v="309"/>
    <s v="Yes"/>
    <n v="4.3"/>
    <x v="2"/>
  </r>
  <r>
    <n v="57"/>
    <s v="The Coffee Bean &amp; Tea Leaf"/>
    <s v="Sector 28,Mehrauli Road"/>
    <x v="0"/>
    <s v="Americanno"/>
    <s v="Americanno"/>
    <n v="289"/>
    <s v="Yes"/>
    <n v="4.3"/>
    <x v="1"/>
  </r>
  <r>
    <n v="58"/>
    <s v="The Coffee Bean &amp; Tea Leaf"/>
    <s v="Sector 28,Mehrauli Road"/>
    <x v="0"/>
    <s v="Latte"/>
    <s v="Latte"/>
    <n v="378"/>
    <s v="Yes"/>
    <n v="4.3"/>
    <x v="2"/>
  </r>
  <r>
    <n v="59"/>
    <s v="The Coffee Bean &amp; Tea Leaf"/>
    <s v="Sector 28,Mehrauli Road"/>
    <x v="0"/>
    <s v="Mocha"/>
    <s v="Mocha"/>
    <n v="378"/>
    <s v="No"/>
    <n v="4.3"/>
    <x v="2"/>
  </r>
  <r>
    <n v="60"/>
    <s v="The Coffee Bean &amp; Tea Leaf"/>
    <s v="Sector 28,Mehrauli Road"/>
    <x v="0"/>
    <s v="Hot Chocolate"/>
    <s v="Hot Chocolate"/>
    <n v="378"/>
    <s v="Yes"/>
    <n v="4.3"/>
    <x v="2"/>
  </r>
  <r>
    <n v="61"/>
    <s v="The Coffee Bean &amp; Tea Leaf"/>
    <s v="Sector 28,Mehrauli Road"/>
    <x v="0"/>
    <s v="Flavoured Cold Coffee"/>
    <s v="Hazelnut Icedpresso"/>
    <n v="385"/>
    <s v="No"/>
    <n v="4.3"/>
    <x v="2"/>
  </r>
  <r>
    <n v="62"/>
    <s v="The Coffee Bean &amp; Tea Leaf"/>
    <s v="Sector 28,Mehrauli Road"/>
    <x v="0"/>
    <s v="Cold Coffee"/>
    <s v="Cold Brew Coffee Black"/>
    <n v="309"/>
    <s v="No"/>
    <n v="4.3"/>
    <x v="2"/>
  </r>
  <r>
    <n v="63"/>
    <s v="The Coffee Bean &amp; Tea Leaf"/>
    <s v="Sector 28,Mehrauli Road"/>
    <x v="0"/>
    <s v="Cold Coffee"/>
    <s v="Iced Cappuccino"/>
    <n v="278"/>
    <s v="No"/>
    <n v="4.3"/>
    <x v="1"/>
  </r>
  <r>
    <n v="64"/>
    <s v="The Coffee Bean &amp; Tea Leaf"/>
    <s v="Sector 28,Mehrauli Road"/>
    <x v="1"/>
    <s v="Fries"/>
    <s v="Pataaka Fries"/>
    <n v="278"/>
    <s v="No"/>
    <n v="4.3"/>
    <x v="1"/>
  </r>
  <r>
    <n v="65"/>
    <s v="The Coffee Bean &amp; Tea Leaf"/>
    <s v="Sector 28,Mehrauli Road"/>
    <x v="1"/>
    <s v="Fries"/>
    <s v="French Fries"/>
    <n v="240"/>
    <s v="No"/>
    <n v="4.3"/>
    <x v="1"/>
  </r>
  <r>
    <n v="66"/>
    <s v="The Coffee Bean &amp; Tea Leaf"/>
    <s v="Sector 28,Mehrauli Road"/>
    <x v="1"/>
    <s v="Croissant"/>
    <s v="Butter Croissant"/>
    <n v="208"/>
    <s v="No"/>
    <n v="4.3"/>
    <x v="1"/>
  </r>
  <r>
    <n v="67"/>
    <s v="The Coffee Bean &amp; Tea Leaf"/>
    <s v="Sector 28,Mehrauli Road"/>
    <x v="1"/>
    <s v="Pizza"/>
    <s v="Mexicano Paneer Pizza"/>
    <n v="549"/>
    <s v="No"/>
    <n v="4.3"/>
    <x v="3"/>
  </r>
  <r>
    <n v="68"/>
    <s v="The Coffee Bean &amp; Tea Leaf"/>
    <s v="Sector 28,Mehrauli Road"/>
    <x v="1"/>
    <s v="Pizza"/>
    <s v="Tandoori Chicken Pizza"/>
    <n v="609"/>
    <s v="Yes"/>
    <n v="4.3"/>
    <x v="3"/>
  </r>
  <r>
    <n v="69"/>
    <s v="The Coffee Bean &amp; Tea Leaf"/>
    <s v="Sector 28,Mehrauli Road"/>
    <x v="1"/>
    <s v="Pizza"/>
    <s v="Margherita Pizza"/>
    <n v="470"/>
    <s v="Yes"/>
    <n v="4.3"/>
    <x v="4"/>
  </r>
  <r>
    <n v="70"/>
    <s v="The Coffee Bean &amp; Tea Leaf"/>
    <s v="Sector 28,Mehrauli Road"/>
    <x v="1"/>
    <s v="Sandwich"/>
    <s v="Grilled Chicken Sandwich"/>
    <n v="418"/>
    <s v="Yes"/>
    <n v="4.3"/>
    <x v="4"/>
  </r>
  <r>
    <n v="71"/>
    <s v="The Coffee Bean &amp; Tea Leaf"/>
    <s v="Sector 28,Mehrauli Road"/>
    <x v="1"/>
    <s v="Sandwich"/>
    <s v="Cheese Melt Sandwich"/>
    <n v="418"/>
    <s v="No"/>
    <n v="4.3"/>
    <x v="4"/>
  </r>
  <r>
    <n v="72"/>
    <s v="The Coffee Bean &amp; Tea Leaf"/>
    <s v="Sector 28,Mehrauli Road"/>
    <x v="1"/>
    <s v="Croissant"/>
    <s v="Mexican Paneer Croissant Sandwich"/>
    <n v="362"/>
    <s v="No"/>
    <n v="4.3"/>
    <x v="2"/>
  </r>
  <r>
    <n v="73"/>
    <s v="Sardar Ji Bakhsh Coffee"/>
    <s v="Pillar 179,Golf Course Road"/>
    <x v="0"/>
    <s v="Cappuccino"/>
    <s v="Cappuccino"/>
    <n v="210"/>
    <s v="Yes"/>
    <n v="4.3"/>
    <x v="1"/>
  </r>
  <r>
    <n v="74"/>
    <s v="Sardar Ji Bakhsh Coffee"/>
    <s v="Pillar 179,Golf Course Road"/>
    <x v="0"/>
    <s v="Cappuccino"/>
    <s v="Hazelnut Cappuccino"/>
    <n v="250"/>
    <s v="Yes"/>
    <n v="4.3"/>
    <x v="1"/>
  </r>
  <r>
    <n v="75"/>
    <s v="Sardar Ji Bakhsh Coffee"/>
    <s v="Pillar 179,Golf Course Road"/>
    <x v="0"/>
    <s v="Mocha"/>
    <s v="Mocha"/>
    <n v="250"/>
    <s v="Yes"/>
    <n v="4.3"/>
    <x v="1"/>
  </r>
  <r>
    <n v="76"/>
    <s v="Sardar Ji Bakhsh Coffee"/>
    <s v="Pillar 179,Golf Course Road"/>
    <x v="0"/>
    <s v="Americanno"/>
    <s v="Americanno"/>
    <n v="185"/>
    <s v="Yes"/>
    <n v="4.3"/>
    <x v="0"/>
  </r>
  <r>
    <n v="77"/>
    <s v="Sardar Ji Bakhsh Coffee"/>
    <s v="Pillar 179,Golf Course Road"/>
    <x v="0"/>
    <s v="Latte"/>
    <s v="Latte"/>
    <n v="210"/>
    <s v="No"/>
    <n v="4.3"/>
    <x v="1"/>
  </r>
  <r>
    <n v="78"/>
    <s v="Sardar Ji Bakhsh Coffee"/>
    <s v="Pillar 179,Golf Course Road"/>
    <x v="0"/>
    <s v="Espresso"/>
    <s v="Espresso"/>
    <n v="165"/>
    <s v="No"/>
    <n v="4.3"/>
    <x v="0"/>
  </r>
  <r>
    <n v="79"/>
    <s v="Sardar Ji Bakhsh Coffee"/>
    <s v="Pillar 179,Golf Course Road"/>
    <x v="0"/>
    <s v="Americanno"/>
    <s v="Cinnabon Americano"/>
    <n v="250"/>
    <s v="No"/>
    <n v="4.3"/>
    <x v="1"/>
  </r>
  <r>
    <n v="80"/>
    <s v="Sardar Ji Bakhsh Coffee"/>
    <s v="Pillar 179,Golf Course Road"/>
    <x v="1"/>
    <s v="Fries"/>
    <s v="Peri Peri Fries"/>
    <n v="260"/>
    <s v="No"/>
    <n v="4.3"/>
    <x v="1"/>
  </r>
  <r>
    <n v="81"/>
    <s v="Sardar Ji Bakhsh Coffee"/>
    <s v="Pillar 179,Golf Course Road"/>
    <x v="1"/>
    <s v="Sandwich"/>
    <s v="Sourdough Sandwich"/>
    <n v="390"/>
    <s v="Yes"/>
    <n v="4.3"/>
    <x v="2"/>
  </r>
  <r>
    <n v="82"/>
    <s v="Sardar Ji Bakhsh Coffee"/>
    <s v="Pillar 179,Golf Course Road"/>
    <x v="1"/>
    <s v="Sandwich"/>
    <s v="Chicken Mykonos Sourdough Sandwich"/>
    <n v="440"/>
    <s v="No"/>
    <n v="4.3"/>
    <x v="4"/>
  </r>
  <r>
    <n v="83"/>
    <s v="Sardar Ji Bakhsh Coffee"/>
    <s v="Pillar 179,Golf Course Road"/>
    <x v="1"/>
    <s v="Pizza"/>
    <s v="Margherita Pizza"/>
    <n v="430"/>
    <m/>
    <n v="4.3"/>
    <x v="4"/>
  </r>
  <r>
    <n v="84"/>
    <s v="Sardar Ji Bakhsh Coffee"/>
    <s v="Pillar 179,Golf Course Road"/>
    <x v="0"/>
    <s v="Cold Coffee"/>
    <s v="Iced Americano"/>
    <n v="210"/>
    <s v="No"/>
    <n v="4.3"/>
    <x v="1"/>
  </r>
  <r>
    <n v="85"/>
    <s v="Sardar Ji Bakhsh Coffee"/>
    <s v="Pillar 179,Golf Course Road"/>
    <x v="0"/>
    <s v="Cold Coffee"/>
    <s v="Iced Espresso"/>
    <n v="185"/>
    <s v="No"/>
    <n v="4.3"/>
    <x v="0"/>
  </r>
  <r>
    <n v="86"/>
    <s v="Sardar Ji Bakhsh Coffee"/>
    <s v="Pillar 179,Golf Course Road"/>
    <x v="0"/>
    <s v="Mocha"/>
    <s v="Hazelnut Mocha"/>
    <n v="320"/>
    <s v="No"/>
    <n v="4.3"/>
    <x v="2"/>
  </r>
  <r>
    <n v="87"/>
    <s v="Sardar Ji Bakhsh Coffee"/>
    <s v="Pillar 179,Golf Course Road"/>
    <x v="0"/>
    <s v="Hot Chocolate"/>
    <s v="Hot Chocolate"/>
    <n v="260"/>
    <s v="No"/>
    <n v="4.3"/>
    <x v="1"/>
  </r>
  <r>
    <n v="88"/>
    <s v="Beekend"/>
    <s v="Sushant Lok Phase 1, Sector 43"/>
    <x v="0"/>
    <s v="Latte"/>
    <s v="Hazelnut Latte"/>
    <n v="137"/>
    <s v="Yes"/>
    <n v="4.2"/>
    <x v="0"/>
  </r>
  <r>
    <n v="89"/>
    <s v="Beekend"/>
    <s v="Sushant Lok Phase 1, Sector 44"/>
    <x v="0"/>
    <s v="Latte"/>
    <s v="Vanilla Latte"/>
    <n v="137"/>
    <s v="Yes"/>
    <n v="4.2"/>
    <x v="0"/>
  </r>
  <r>
    <n v="90"/>
    <s v="Beekend"/>
    <s v="Sushant Lok Phase 1, Sector 45"/>
    <x v="0"/>
    <s v="Latte"/>
    <s v="Cafe Latte"/>
    <n v="240"/>
    <s v="Yes"/>
    <n v="4.2"/>
    <x v="1"/>
  </r>
  <r>
    <n v="91"/>
    <s v="Beekend"/>
    <s v="Sushant Lok Phase 1, Sector 46"/>
    <x v="0"/>
    <s v="Cappuccino"/>
    <s v="Cappuccino"/>
    <n v="270"/>
    <s v="Yes"/>
    <n v="4.2"/>
    <x v="1"/>
  </r>
  <r>
    <n v="92"/>
    <s v="Beekend"/>
    <s v="Sushant Lok Phase 1, Sector 47"/>
    <x v="0"/>
    <s v="Americanno"/>
    <s v="Americanno"/>
    <n v="220"/>
    <s v="Yes"/>
    <n v="4.2"/>
    <x v="1"/>
  </r>
  <r>
    <n v="93"/>
    <s v="Beekend"/>
    <s v="Sushant Lok Phase 1, Sector 48"/>
    <x v="0"/>
    <s v="Mocha"/>
    <s v="Mocha"/>
    <n v="275"/>
    <s v="Yes"/>
    <n v="4.2"/>
    <x v="1"/>
  </r>
  <r>
    <n v="94"/>
    <s v="Beekend"/>
    <s v="Sushant Lok Phase 1, Sector 49"/>
    <x v="1"/>
    <s v="Toast"/>
    <s v="French Toast"/>
    <n v="350"/>
    <s v="Yes"/>
    <n v="4.2"/>
    <x v="2"/>
  </r>
  <r>
    <n v="95"/>
    <s v="Beekend"/>
    <s v="Sushant Lok Phase 1, Sector 50"/>
    <x v="1"/>
    <s v="Fries"/>
    <s v="Fries"/>
    <n v="280"/>
    <s v="No"/>
    <n v="4.2"/>
    <x v="1"/>
  </r>
  <r>
    <n v="96"/>
    <s v="Beekend"/>
    <s v="Sushant Lok Phase 1, Sector 51"/>
    <x v="1"/>
    <s v="Toast"/>
    <s v="Garlic Butter Bacon Toast"/>
    <n v="375"/>
    <s v="Yes"/>
    <n v="4.2"/>
    <x v="2"/>
  </r>
  <r>
    <n v="97"/>
    <s v="Tim Hortons"/>
    <s v="DLF Cyber City"/>
    <x v="0"/>
    <s v="Cappuccino"/>
    <s v="Cappuccino"/>
    <n v="182"/>
    <s v="Yes"/>
    <n v="4.2"/>
    <x v="0"/>
  </r>
  <r>
    <n v="98"/>
    <s v="Tim Hortons"/>
    <s v="DLF Cyber City"/>
    <x v="0"/>
    <s v="Espresso"/>
    <s v="Espresso"/>
    <n v="350"/>
    <s v="Yes"/>
    <n v="4.2"/>
    <x v="2"/>
  </r>
  <r>
    <n v="99"/>
    <s v="Tim Hortons"/>
    <s v="DLF Cyber City"/>
    <x v="0"/>
    <s v="Latte"/>
    <s v="Latte"/>
    <n v="185"/>
    <s v="No"/>
    <n v="4.2"/>
    <x v="0"/>
  </r>
  <r>
    <n v="100"/>
    <s v="Tim Hortons"/>
    <s v="DLF Cyber City"/>
    <x v="0"/>
    <s v="Americanno"/>
    <s v="Americanno"/>
    <n v="168"/>
    <s v="Yes"/>
    <n v="4.2"/>
    <x v="0"/>
  </r>
  <r>
    <n v="101"/>
    <s v="Tim Hortons"/>
    <s v="DLF Cyber City"/>
    <x v="0"/>
    <s v="Mocha"/>
    <s v="Mocha"/>
    <n v="320"/>
    <s v="No"/>
    <n v="4.2"/>
    <x v="2"/>
  </r>
  <r>
    <n v="102"/>
    <s v="Tim Hortons"/>
    <s v="DLF Cyber City"/>
    <x v="0"/>
    <s v="Hot Chocolate"/>
    <s v="Hot Chocolate"/>
    <n v="140"/>
    <m/>
    <n v="4.2"/>
    <x v="0"/>
  </r>
  <r>
    <n v="103"/>
    <s v="Tim Hortons"/>
    <s v="DLF Cyber City"/>
    <x v="0"/>
    <s v="Cold Coffee"/>
    <s v="Cold Coffee"/>
    <n v="155"/>
    <s v="Yes"/>
    <n v="4.2"/>
    <x v="0"/>
  </r>
  <r>
    <n v="104"/>
    <s v="Tim Hortons"/>
    <s v="DLF Cyber City"/>
    <x v="0"/>
    <s v="Cold Coffee"/>
    <s v="Iced Americano"/>
    <n v="142"/>
    <s v="No"/>
    <n v="4.2"/>
    <x v="0"/>
  </r>
  <r>
    <n v="105"/>
    <s v="Tim Hortons"/>
    <s v="DLF Cyber City"/>
    <x v="1"/>
    <s v="Doughnut"/>
    <s v="Biscoff Donut"/>
    <n v="140"/>
    <s v="No"/>
    <n v="4.2"/>
    <x v="0"/>
  </r>
  <r>
    <n v="106"/>
    <s v="Tim Hortons"/>
    <s v="DLF Cyber City"/>
    <x v="1"/>
    <s v="Sandwich"/>
    <s v="Chicken &amp; Cheese Melt Sandwich"/>
    <n v="284"/>
    <s v="Yes"/>
    <n v="4.2"/>
    <x v="1"/>
  </r>
  <r>
    <n v="107"/>
    <s v="Tim Hortons"/>
    <s v="DLF Cyber City"/>
    <x v="1"/>
    <s v="Sandwich"/>
    <s v="Mushrooms &amp; Cheese Melt Sandwich"/>
    <n v="284"/>
    <s v="No"/>
    <n v="4.2"/>
    <x v="1"/>
  </r>
  <r>
    <n v="108"/>
    <s v="Starbucks"/>
    <s v="DLF Cyber City"/>
    <x v="0"/>
    <s v="Latte"/>
    <s v="Latte"/>
    <n v="295"/>
    <s v="Yes"/>
    <n v="4.2"/>
    <x v="1"/>
  </r>
  <r>
    <n v="109"/>
    <s v="Starbucks"/>
    <s v="DLF Cyber City"/>
    <x v="0"/>
    <s v="Cappuccino"/>
    <s v="Cappuccino"/>
    <n v="285"/>
    <s v="Yes"/>
    <n v="4.2"/>
    <x v="1"/>
  </r>
  <r>
    <n v="110"/>
    <s v="Starbucks"/>
    <s v="DLF Cyber City"/>
    <x v="0"/>
    <s v="Americanno"/>
    <s v="Americanno"/>
    <n v="270"/>
    <s v="Yes"/>
    <n v="4.2"/>
    <x v="1"/>
  </r>
  <r>
    <n v="111"/>
    <s v="Starbucks"/>
    <s v="DLF Cyber City"/>
    <x v="0"/>
    <s v="Latte"/>
    <s v="Hazelnut Caffe Latte"/>
    <n v="350"/>
    <s v="Yes"/>
    <n v="4.2"/>
    <x v="2"/>
  </r>
  <r>
    <n v="112"/>
    <s v="Starbucks"/>
    <s v="DLF Cyber City"/>
    <x v="0"/>
    <s v="Mocha"/>
    <s v="Mocha"/>
    <n v="335"/>
    <s v="Yes"/>
    <n v="4.2"/>
    <x v="2"/>
  </r>
  <r>
    <n v="113"/>
    <s v="Starbucks"/>
    <s v="DLF Cyber City"/>
    <x v="0"/>
    <s v="Cold Coffee"/>
    <s v="Cold Coffee"/>
    <n v="320"/>
    <s v="Yes"/>
    <n v="4.2"/>
    <x v="2"/>
  </r>
  <r>
    <n v="114"/>
    <s v="Starbucks"/>
    <s v="DLF Cyber City"/>
    <x v="0"/>
    <s v="Latte"/>
    <s v="Iced Caffe Latte"/>
    <n v="330"/>
    <s v="Yes"/>
    <n v="4.2"/>
    <x v="2"/>
  </r>
  <r>
    <n v="115"/>
    <s v="Starbucks"/>
    <s v="DLF Cyber City"/>
    <x v="0"/>
    <s v="Hot Chocolate"/>
    <s v="Signature Hot Chocolate"/>
    <n v="305"/>
    <s v="Yes"/>
    <n v="4.2"/>
    <x v="2"/>
  </r>
  <r>
    <n v="116"/>
    <s v="Starbucks"/>
    <s v="DLF Cyber City"/>
    <x v="1"/>
    <s v="Sandwich"/>
    <s v="Avocado Salsa Sandwich"/>
    <n v="440"/>
    <s v="Yes"/>
    <n v="4.2"/>
    <x v="4"/>
  </r>
  <r>
    <n v="117"/>
    <s v="Starbucks"/>
    <s v="DLF Cyber City"/>
    <x v="1"/>
    <s v="Croissant"/>
    <s v="Egg White &amp; Chicken in Multigrain Croissant"/>
    <n v="370"/>
    <s v="Yes"/>
    <n v="4.2"/>
    <x v="2"/>
  </r>
  <r>
    <n v="118"/>
    <s v="Starbucks"/>
    <s v="DLF Cyber City"/>
    <x v="1"/>
    <s v="Sandwich"/>
    <s v="Spinach &amp; Corn Sandwich"/>
    <n v="260"/>
    <s v="No"/>
    <n v="4.2"/>
    <x v="1"/>
  </r>
  <r>
    <n v="119"/>
    <s v="Starbucks"/>
    <s v="DLF Cyber City"/>
    <x v="1"/>
    <s v="Sandwich"/>
    <s v="Panee Tikka Sandwich"/>
    <n v="280"/>
    <s v="No"/>
    <n v="4.2"/>
    <x v="1"/>
  </r>
  <r>
    <n v="120"/>
    <s v="Costa Coffee"/>
    <s v="DLF Phase 4"/>
    <x v="0"/>
    <s v="Mocha"/>
    <s v="Mocha"/>
    <n v="300"/>
    <s v="No"/>
    <n v="4.0999999999999996"/>
    <x v="2"/>
  </r>
  <r>
    <n v="121"/>
    <s v="Costa Coffee"/>
    <s v="DLF Phase 5"/>
    <x v="0"/>
    <s v="Cappuccino"/>
    <s v="Cappuccino"/>
    <n v="275"/>
    <s v="Yes"/>
    <n v="4.0999999999999996"/>
    <x v="1"/>
  </r>
  <r>
    <n v="122"/>
    <s v="Costa Coffee"/>
    <s v="DLF Phase 6"/>
    <x v="0"/>
    <s v="Latte"/>
    <s v="Latte"/>
    <n v="240"/>
    <s v="Yes"/>
    <n v="4.0999999999999996"/>
    <x v="1"/>
  </r>
  <r>
    <n v="123"/>
    <s v="Costa Coffee"/>
    <s v="DLF Phase 7"/>
    <x v="0"/>
    <s v="Americanno"/>
    <s v="Americanno"/>
    <n v="240"/>
    <s v="No"/>
    <n v="4.0999999999999996"/>
    <x v="1"/>
  </r>
  <r>
    <n v="124"/>
    <s v="Costa Coffee"/>
    <s v="DLF Phase 8"/>
    <x v="0"/>
    <s v="Latte"/>
    <s v="Iced Latte"/>
    <n v="300"/>
    <s v="Yes"/>
    <n v="4.0999999999999996"/>
    <x v="2"/>
  </r>
  <r>
    <n v="125"/>
    <s v="Costa Coffee"/>
    <s v="DLF Phase 9"/>
    <x v="0"/>
    <s v="Cold Coffee"/>
    <s v="Cold Coffee"/>
    <n v="305"/>
    <s v="No"/>
    <n v="4.0999999999999996"/>
    <x v="2"/>
  </r>
  <r>
    <n v="126"/>
    <s v="Costa Coffee"/>
    <s v="DLF Phase 10"/>
    <x v="0"/>
    <s v="Hot Chocolate"/>
    <s v="Hot Chocolate"/>
    <n v="285"/>
    <s v="No"/>
    <n v="4.0999999999999996"/>
    <x v="1"/>
  </r>
  <r>
    <n v="127"/>
    <s v="Costa Coffee"/>
    <s v="DLF Phase 11"/>
    <x v="0"/>
    <s v="Cold Coffee"/>
    <s v="Iced Americano"/>
    <n v="265"/>
    <s v="Yes"/>
    <n v="4.0999999999999996"/>
    <x v="1"/>
  </r>
  <r>
    <n v="128"/>
    <s v="Costa Coffee"/>
    <s v="DLF Phase 12"/>
    <x v="1"/>
    <s v="Burgers"/>
    <s v="Vegetable Cheese Burger"/>
    <n v="189"/>
    <s v="No"/>
    <n v="4.0999999999999996"/>
    <x v="0"/>
  </r>
  <r>
    <n v="129"/>
    <s v="Costa Coffee"/>
    <s v="DLF Phase 13"/>
    <x v="1"/>
    <s v="Burgers"/>
    <s v="Chicken Cheese Burger"/>
    <n v="209"/>
    <s v="No"/>
    <n v="4.0999999999999996"/>
    <x v="1"/>
  </r>
  <r>
    <n v="130"/>
    <s v="Costa Coffee"/>
    <s v="DLF Phase 14"/>
    <x v="1"/>
    <s v="Sandwich"/>
    <s v="Bombay Style Sandwich"/>
    <n v="245"/>
    <s v="No"/>
    <n v="4.0999999999999996"/>
    <x v="1"/>
  </r>
  <r>
    <n v="131"/>
    <s v="Costa Coffee"/>
    <s v="DLF Phase 15"/>
    <x v="1"/>
    <s v="Sandwich"/>
    <s v="Italian Grilled Chicken Sandwich"/>
    <n v="350"/>
    <s v="No"/>
    <n v="4.0999999999999996"/>
    <x v="2"/>
  </r>
  <r>
    <m/>
    <m/>
    <m/>
    <x v="2"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9CC27-AD5D-4350-87DB-65F623A622F3}" name="PivotTable2" cacheId="1" applyNumberFormats="0" applyBorderFormats="0" applyFontFormats="0" applyPatternFormats="0" applyAlignmentFormats="0" applyWidthHeightFormats="1" dataCaption="Values" tag="33d5e9b4-2325-4cf3-8bb1-282edaf3fa16" updatedVersion="8" minRefreshableVersion="3" useAutoFormatting="1" itemPrintTitles="1" createdVersion="8" indent="0" outline="1" outlineData="1" multipleFieldFilters="0" chartFormat="7" rowHeaderCaption="Price Points">
  <location ref="F7:G11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3">
        <item s="1" x="0"/>
        <item s="1" x="1"/>
        <item s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0" hier="3" name="[Range].[Item Category].&amp;[Coffee]" cap="Coffee"/>
  </pageFields>
  <dataFields count="1">
    <dataField name="No. of Items" fld="2" subtotal="count" baseField="1" baseItem="8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multipleItemSelectionAllowed="1" dragToData="1">
      <members count="1" level="1">
        <member name="[Range].[Item Category].&amp;[Coffee]"/>
      </members>
    </pivotHierarchy>
    <pivotHierarchy dragToData="1"/>
    <pivotHierarchy dragToData="1"/>
    <pivotHierarchy dragToData="1"/>
    <pivotHierarchy dragToData="1"/>
    <pivotHierarchy dragToData="1"/>
    <pivotHierarchy dragToData="1">
      <members count="5" level="1">
        <member name="[Range].[Price Bucket].&amp;[₹500+]"/>
        <member name=""/>
        <member name=""/>
        <member name=""/>
        <member name="[Range].[Price Bucket].&amp;[₹400-499]"/>
      </members>
    </pivotHierarchy>
    <pivotHierarchy dragToRow="0" dragToCol="0" dragToPage="0" dragToData="1"/>
    <pivotHierarchy dragToRow="0" dragToCol="0" dragToPage="0" dragToData="1"/>
    <pivotHierarchy dragToData="1" caption="No. of Item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E9EAF-215C-4A72-8DF7-C9A7B5F48E7D}" name="PivotTable1" cacheId="2" applyNumberFormats="0" applyBorderFormats="0" applyFontFormats="0" applyPatternFormats="0" applyAlignmentFormats="0" applyWidthHeightFormats="1" dataCaption="Values" tag="6c07425a-17c3-4e20-8a45-10f90b5815d3" updatedVersion="8" minRefreshableVersion="3" useAutoFormatting="1" subtotalHiddenItems="1" itemPrintTitles="1" createdVersion="8" indent="0" outline="1" outlineData="1" multipleFieldFilters="0" chartFormat="12" rowHeaderCaption="Coffee Beverges">
  <location ref="B7:C1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1">
    <i>
      <x v="8"/>
    </i>
    <i>
      <x v="2"/>
    </i>
    <i>
      <x v="1"/>
    </i>
    <i>
      <x/>
    </i>
    <i>
      <x v="9"/>
    </i>
    <i>
      <x v="5"/>
    </i>
    <i>
      <x v="3"/>
    </i>
    <i>
      <x v="4"/>
    </i>
    <i>
      <x v="7"/>
    </i>
    <i>
      <x v="6"/>
    </i>
    <i t="grand">
      <x/>
    </i>
  </rowItems>
  <colItems count="1">
    <i/>
  </colItems>
  <pageFields count="1">
    <pageField fld="0" hier="3" name="[Range].[Item Category].&amp;[Coffee]" cap="Coffee"/>
  </pageFields>
  <dataFields count="1">
    <dataField name="No. of Items" fld="2" subtotal="count" baseField="1" baseItem="8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multipleItemSelectionAllowed="1" dragToData="1">
      <members count="1" level="1">
        <member name="[Range].[Item Category].&amp;[Coffe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No. of Item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96BEE-C66E-46EB-9A05-7D99140375C9}" name="PivotTable3" cacheId="0" applyNumberFormats="0" applyBorderFormats="0" applyFontFormats="0" applyPatternFormats="0" applyAlignmentFormats="0" applyWidthHeightFormats="1" dataCaption="Values" tag="f590b048-1325-4f2f-b7ef-8c48ebf26a16" updatedVersion="8" minRefreshableVersion="3" useAutoFormatting="1" itemPrintTitles="1" createdVersion="8" indent="0" outline="1" outlineData="1" multipleFieldFilters="0" chartFormat="21" rowHeaderCaption="Best Sellers">
  <location ref="J7:M12" firstHeaderRow="1" firstDataRow="2" firstDataCol="1" rowPageCount="1" colPageCount="1"/>
  <pivotFields count="5">
    <pivotField axis="axisPage" allDrilled="1" subtotalTop="0" showAll="0" dataSourceSort="1" defaultSubtotal="0" defaultAttributeDrillState="1"/>
    <pivotField axis="axisCol" allDrilled="1" subtotalTop="0" showAll="0" defaultSubtotal="0" defaultAttributeDrillState="1">
      <items count="2">
        <item s="1" x="0"/>
        <item s="1" x="1"/>
      </items>
    </pivotField>
    <pivotField allDrilled="1" subtotalTop="0" showAll="0" dataSourceSort="1" defaultSubtotal="0" defaultAttributeDrillState="1">
      <items count="4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0" hier="3" name="[Range].[Item Category].&amp;[Coffee]" cap="Coffee"/>
  </pageFields>
  <dataFields count="1">
    <dataField name="Count of Item Name" fld="3" subtotal="count" baseField="0" baseItem="0"/>
  </dataFields>
  <chartFormats count="2"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7">
    <pivotHierarchy dragToData="1"/>
    <pivotHierarchy dragToData="1"/>
    <pivotHierarchy dragToData="1"/>
    <pivotHierarchy multipleItemSelectionAllowed="1" dragToData="1">
      <members count="1" level="1">
        <member name="[Range].[Item Category].&amp;[Coffee]"/>
      </members>
    </pivotHierarchy>
    <pivotHierarchy dragToData="1"/>
    <pivotHierarchy dragToData="1"/>
    <pivotHierarchy dragToData="1">
      <members count="70" level="1">
        <member name=""/>
        <member name="[Range].[Price].&amp;[129]"/>
        <member name=""/>
        <member name=""/>
        <member name="[Range].[Price].&amp;[140]"/>
        <member name=""/>
        <member name="[Range].[Price].&amp;[149]"/>
        <member name=""/>
        <member name="[Range].[Price].&amp;[159]"/>
        <member name=""/>
        <member name=""/>
        <member name="[Range].[Price].&amp;[169]"/>
        <member name=""/>
        <member name=""/>
        <member name=""/>
        <member name=""/>
        <member name=""/>
        <member name="[Range].[Price].&amp;[208]"/>
        <member name="[Range].[Price].&amp;[209]"/>
        <member name=""/>
        <member name=""/>
        <member name=""/>
        <member name=""/>
        <member name=""/>
        <member name=""/>
        <member name="[Range].[Price].&amp;[245]"/>
        <member name="[Range].[Price].&amp;[249]"/>
        <member name=""/>
        <member name=""/>
        <member name=""/>
        <member name=""/>
        <member name=""/>
        <member name=""/>
        <member name=""/>
        <member name=""/>
        <member name=""/>
        <member name="[Range].[Price].&amp;[284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ange].[Price].&amp;[362]"/>
        <member name="[Range].[Price].&amp;[369]"/>
        <member name="[Range].[Price].&amp;[370]"/>
        <member name="[Range].[Price].&amp;[375]"/>
        <member name=""/>
        <member name=""/>
        <member name="[Range].[Price].&amp;[390]"/>
        <member name="[Range].[Price].&amp;[395]"/>
        <member name="[Range].[Price].&amp;[418]"/>
        <member name="[Range].[Price].&amp;[430]"/>
        <member name="[Range].[Price].&amp;[440]"/>
        <member name="[Range].[Price].&amp;[450]"/>
        <member name="[Range].[Price].&amp;[470]"/>
        <member name="[Range].[Price].&amp;[549]"/>
        <member name="[Range].[Price].&amp;[575]"/>
        <member name="[Range].[Price].&amp;[584]"/>
        <member name="[Range].[Price].&amp;[609]"/>
        <member name="[Range].[Price].&amp;[625]"/>
        <member name="[Range].[Price].&amp;[695]"/>
        <member name="[Range].[Price].&amp;[875]"/>
        <member name="[Range].[Price].&amp;[1425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No. of times Sol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3E76A-FBCB-4370-B985-AC2522A855A8}" name="PivotTable5" cacheId="3" applyNumberFormats="0" applyBorderFormats="0" applyFontFormats="0" applyPatternFormats="0" applyAlignmentFormats="0" applyWidthHeightFormats="1" dataCaption="Values" tag="c8a13166-ff2b-4fc5-aa46-6759dfcd57bb" updatedVersion="8" minRefreshableVersion="3" useAutoFormatting="1" itemPrintTitles="1" createdVersion="8" indent="0" outline="1" outlineData="1" multipleFieldFilters="0" chartFormat="7" rowHeaderCaption="Quick Bite Items">
  <location ref="G6:H12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llDrilled="1" subtotalTop="0" showAll="0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pageFields count="1">
    <pageField fld="0" hier="3" name="[Range].[Item Category].&amp;[Quick Bite]" cap="Quick Bite"/>
  </pageFields>
  <dataFields count="1">
    <dataField name="No. Times Ordered" fld="2" subtotal="count" baseField="1" baseItem="1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multipleItemSelectionAllowed="1" dragToData="1">
      <members count="1" level="1">
        <member name="[Range].[Item Category].&amp;[Quick Bit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No. Times Ordere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1DAE1-6B33-4436-AEEE-DB2BDDC8A485}" name="PivotTable4" cacheId="4" applyNumberFormats="0" applyBorderFormats="0" applyFontFormats="0" applyPatternFormats="0" applyAlignmentFormats="0" applyWidthHeightFormats="1" dataCaption="Values" tag="c5d52369-51b9-44b4-b701-cd0b1a0e5f65" updatedVersion="8" minRefreshableVersion="3" useAutoFormatting="1" itemPrintTitles="1" createdVersion="8" indent="0" outline="1" outlineData="1" multipleFieldFilters="0" chartFormat="7" rowHeaderCaption="Quick Bite Items">
  <location ref="B6:C21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5">
    <i>
      <x v="12"/>
    </i>
    <i>
      <x v="5"/>
    </i>
    <i>
      <x v="11"/>
    </i>
    <i>
      <x/>
    </i>
    <i>
      <x v="3"/>
    </i>
    <i>
      <x v="6"/>
    </i>
    <i>
      <x v="4"/>
    </i>
    <i>
      <x v="13"/>
    </i>
    <i>
      <x v="7"/>
    </i>
    <i>
      <x v="1"/>
    </i>
    <i>
      <x v="10"/>
    </i>
    <i>
      <x v="2"/>
    </i>
    <i>
      <x v="8"/>
    </i>
    <i>
      <x v="9"/>
    </i>
    <i t="grand">
      <x/>
    </i>
  </rowItems>
  <colItems count="1">
    <i/>
  </colItems>
  <pageFields count="1">
    <pageField fld="0" hier="3" name="[Range].[Item Category].&amp;[Quick Bite]" cap="Quick Bite"/>
  </pageFields>
  <dataFields count="1">
    <dataField name="No. Times Ordered" fld="2" subtotal="count" baseField="1" baseItem="1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multipleItemSelectionAllowed="1" dragToData="1">
      <members count="1" level="1">
        <member name="[Range].[Item Category].&amp;[Quick Bit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No. Times Ordere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8D63F-5C10-4D4C-A75D-F1F63B4070B6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ce Range">
  <location ref="K7:L13" firstHeaderRow="1" firstDataRow="1" firstDataCol="1" rowPageCount="1" colPageCount="1"/>
  <pivotFields count="10"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axis="axisRow" showAll="0" sortType="descending">
      <items count="7">
        <item x="1"/>
        <item x="2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pageFields count="1">
    <pageField fld="3" hier="-1"/>
  </pageFields>
  <dataFields count="1">
    <dataField name="No.of orders" fld="5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66D6F-E905-406F-B12B-CE0A1664AC06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ce Range">
  <location ref="H7:I11" firstHeaderRow="1" firstDataRow="1" firstDataCol="1" rowPageCount="1" colPageCount="1"/>
  <pivotFields count="10"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7">
        <item x="1"/>
        <item x="2"/>
        <item x="4"/>
        <item x="3"/>
        <item x="0"/>
        <item x="5"/>
        <item t="default"/>
      </items>
    </pivotField>
  </pivotFields>
  <rowFields count="1">
    <field x="9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3" hier="-1"/>
  </pageFields>
  <dataFields count="1">
    <dataField name="No. of orders" fld="5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716D7-3F7D-433A-8124-2D534606EAD3}" name="PivotTable6" cacheId="6" applyNumberFormats="0" applyBorderFormats="0" applyFontFormats="0" applyPatternFormats="0" applyAlignmentFormats="0" applyWidthHeightFormats="1" dataCaption="Values" tag="afad9ccd-dd6a-421a-83a1-6a64f13c30da" updatedVersion="8" minRefreshableVersion="3" useAutoFormatting="1" rowGrandTotals="0" colGrandTotals="0" itemPrintTitles="1" createdVersion="8" indent="0" outline="1" outlineData="1" multipleFieldFilters="0" chartFormat="7" rowHeaderCaption="Café Brands">
  <location ref="C5:D15" firstHeaderRow="1" firstDataRow="1" firstDataCol="1"/>
  <pivotFields count="2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5"/>
    </i>
    <i>
      <x v="4"/>
    </i>
    <i>
      <x v="8"/>
    </i>
    <i>
      <x v="7"/>
    </i>
    <i>
      <x v="6"/>
    </i>
    <i>
      <x v="2"/>
    </i>
    <i>
      <x v="3"/>
    </i>
    <i>
      <x/>
    </i>
    <i>
      <x v="9"/>
    </i>
    <i>
      <x v="1"/>
    </i>
  </rowItems>
  <colItems count="1">
    <i/>
  </colItems>
  <dataFields count="1">
    <dataField name="Average of Price" fld="1" subtotal="average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rice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D438-6E60-4FC6-AB53-418FC9184E14}">
  <dimension ref="A1:W37"/>
  <sheetViews>
    <sheetView zoomScale="71" workbookViewId="0">
      <selection activeCell="X9" sqref="X9"/>
    </sheetView>
  </sheetViews>
  <sheetFormatPr defaultRowHeight="14.4" x14ac:dyDescent="0.3"/>
  <sheetData>
    <row r="1" spans="1:23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</sheetData>
  <mergeCells count="1">
    <mergeCell ref="A1:W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A2E9-BC19-45A8-8DE0-F12CFFB6E6F1}">
  <dimension ref="B3:N25"/>
  <sheetViews>
    <sheetView topLeftCell="B1" zoomScale="95" workbookViewId="0">
      <selection activeCell="K10" sqref="K10"/>
    </sheetView>
  </sheetViews>
  <sheetFormatPr defaultRowHeight="14.4" x14ac:dyDescent="0.3"/>
  <cols>
    <col min="1" max="1" width="9.5546875" customWidth="1"/>
    <col min="2" max="2" width="18.77734375" bestFit="1" customWidth="1"/>
    <col min="3" max="3" width="19.33203125" customWidth="1"/>
    <col min="6" max="6" width="14.44140625" bestFit="1" customWidth="1"/>
    <col min="7" max="7" width="11.33203125" bestFit="1" customWidth="1"/>
    <col min="8" max="8" width="23.109375" customWidth="1"/>
    <col min="10" max="10" width="18.33203125" bestFit="1" customWidth="1"/>
    <col min="11" max="11" width="26.109375" customWidth="1"/>
    <col min="12" max="12" width="18.33203125" customWidth="1"/>
    <col min="13" max="13" width="10.88671875" bestFit="1" customWidth="1"/>
    <col min="14" max="14" width="20.109375" customWidth="1"/>
  </cols>
  <sheetData>
    <row r="3" spans="2:14" x14ac:dyDescent="0.3">
      <c r="B3" s="6" t="s">
        <v>147</v>
      </c>
      <c r="C3" s="6"/>
      <c r="E3" s="6" t="str">
        <f>UPPER("Identify most commonly sold price points for coffee")</f>
        <v>IDENTIFY MOST COMMONLY SOLD PRICE POINTS FOR COFFEE</v>
      </c>
      <c r="F3" s="6"/>
      <c r="G3" s="6"/>
      <c r="H3" s="6"/>
      <c r="J3" s="6" t="s">
        <v>153</v>
      </c>
      <c r="K3" s="6"/>
      <c r="L3" s="6"/>
      <c r="M3" s="6"/>
      <c r="N3" s="6"/>
    </row>
    <row r="4" spans="2:14" x14ac:dyDescent="0.3">
      <c r="J4" s="9"/>
      <c r="K4" s="9"/>
    </row>
    <row r="5" spans="2:14" x14ac:dyDescent="0.3">
      <c r="B5" s="2" t="s">
        <v>2</v>
      </c>
      <c r="C5" t="s" vm="1">
        <v>11</v>
      </c>
      <c r="F5" s="2" t="s">
        <v>2</v>
      </c>
      <c r="G5" t="s" vm="1">
        <v>11</v>
      </c>
      <c r="J5" s="2" t="s">
        <v>2</v>
      </c>
      <c r="K5" t="s" vm="1">
        <v>11</v>
      </c>
    </row>
    <row r="7" spans="2:14" x14ac:dyDescent="0.3">
      <c r="B7" s="2" t="s">
        <v>146</v>
      </c>
      <c r="C7" t="s">
        <v>145</v>
      </c>
      <c r="F7" s="2" t="s">
        <v>148</v>
      </c>
      <c r="G7" t="s">
        <v>145</v>
      </c>
      <c r="J7" s="2" t="s">
        <v>144</v>
      </c>
      <c r="K7" s="2" t="s">
        <v>155</v>
      </c>
    </row>
    <row r="8" spans="2:14" x14ac:dyDescent="0.3">
      <c r="B8" s="3" t="s">
        <v>19</v>
      </c>
      <c r="C8">
        <v>16</v>
      </c>
      <c r="F8" s="3" t="s">
        <v>149</v>
      </c>
      <c r="G8">
        <v>37</v>
      </c>
      <c r="J8" s="2" t="s">
        <v>154</v>
      </c>
      <c r="K8" t="s">
        <v>53</v>
      </c>
      <c r="L8" t="s">
        <v>52</v>
      </c>
      <c r="M8" t="s">
        <v>143</v>
      </c>
    </row>
    <row r="9" spans="2:14" x14ac:dyDescent="0.3">
      <c r="B9" s="3" t="s">
        <v>20</v>
      </c>
      <c r="C9">
        <v>12</v>
      </c>
      <c r="F9" s="3" t="s">
        <v>150</v>
      </c>
      <c r="G9">
        <v>21</v>
      </c>
      <c r="J9" s="3" t="s">
        <v>149</v>
      </c>
      <c r="K9">
        <v>13</v>
      </c>
      <c r="L9">
        <v>24</v>
      </c>
      <c r="M9">
        <v>37</v>
      </c>
    </row>
    <row r="10" spans="2:14" x14ac:dyDescent="0.3">
      <c r="B10" s="3" t="s">
        <v>14</v>
      </c>
      <c r="C10">
        <v>11</v>
      </c>
      <c r="F10" s="3" t="s">
        <v>151</v>
      </c>
      <c r="G10">
        <v>21</v>
      </c>
      <c r="J10" s="3" t="s">
        <v>151</v>
      </c>
      <c r="K10">
        <v>8</v>
      </c>
      <c r="L10">
        <v>13</v>
      </c>
      <c r="M10">
        <v>21</v>
      </c>
    </row>
    <row r="11" spans="2:14" x14ac:dyDescent="0.3">
      <c r="B11" s="3" t="s">
        <v>13</v>
      </c>
      <c r="C11">
        <v>11</v>
      </c>
      <c r="F11" s="3" t="s">
        <v>143</v>
      </c>
      <c r="G11">
        <v>79</v>
      </c>
      <c r="J11" s="3" t="s">
        <v>150</v>
      </c>
      <c r="K11">
        <v>7</v>
      </c>
      <c r="L11">
        <v>13</v>
      </c>
      <c r="M11">
        <v>20</v>
      </c>
    </row>
    <row r="12" spans="2:14" x14ac:dyDescent="0.3">
      <c r="B12" s="3" t="s">
        <v>18</v>
      </c>
      <c r="C12">
        <v>11</v>
      </c>
      <c r="E12" s="7" t="s">
        <v>152</v>
      </c>
      <c r="F12" s="8"/>
      <c r="G12" s="8"/>
      <c r="H12" s="8"/>
      <c r="J12" s="3" t="s">
        <v>143</v>
      </c>
      <c r="K12">
        <v>28</v>
      </c>
      <c r="L12">
        <v>50</v>
      </c>
      <c r="M12">
        <v>78</v>
      </c>
    </row>
    <row r="13" spans="2:14" ht="14.4" customHeight="1" x14ac:dyDescent="0.3">
      <c r="B13" s="3" t="s">
        <v>15</v>
      </c>
      <c r="C13">
        <v>6</v>
      </c>
      <c r="E13" s="8"/>
      <c r="F13" s="8"/>
      <c r="G13" s="8"/>
      <c r="H13" s="8"/>
      <c r="J13" s="10" t="s">
        <v>156</v>
      </c>
      <c r="K13" s="10"/>
      <c r="L13" s="10"/>
      <c r="M13" s="10"/>
      <c r="N13" s="10"/>
    </row>
    <row r="14" spans="2:14" x14ac:dyDescent="0.3">
      <c r="B14" s="3" t="s">
        <v>12</v>
      </c>
      <c r="C14">
        <v>5</v>
      </c>
      <c r="E14" s="8"/>
      <c r="F14" s="8"/>
      <c r="G14" s="8"/>
      <c r="H14" s="8"/>
      <c r="J14" s="10"/>
      <c r="K14" s="10"/>
      <c r="L14" s="10"/>
      <c r="M14" s="10"/>
      <c r="N14" s="10"/>
    </row>
    <row r="15" spans="2:14" x14ac:dyDescent="0.3">
      <c r="B15" s="3" t="s">
        <v>23</v>
      </c>
      <c r="C15">
        <v>5</v>
      </c>
      <c r="E15" s="8"/>
      <c r="F15" s="8"/>
      <c r="G15" s="8"/>
      <c r="H15" s="8"/>
      <c r="J15" s="10"/>
      <c r="K15" s="10"/>
      <c r="L15" s="10"/>
      <c r="M15" s="10"/>
      <c r="N15" s="10"/>
    </row>
    <row r="16" spans="2:14" x14ac:dyDescent="0.3">
      <c r="B16" s="3" t="s">
        <v>22</v>
      </c>
      <c r="C16">
        <v>1</v>
      </c>
      <c r="E16" s="8"/>
      <c r="F16" s="8"/>
      <c r="G16" s="8"/>
      <c r="H16" s="8"/>
      <c r="J16" s="10"/>
      <c r="K16" s="10"/>
      <c r="L16" s="10"/>
      <c r="M16" s="10"/>
      <c r="N16" s="10"/>
    </row>
    <row r="17" spans="2:14" x14ac:dyDescent="0.3">
      <c r="B17" s="3" t="s">
        <v>21</v>
      </c>
      <c r="C17">
        <v>1</v>
      </c>
      <c r="J17" s="10"/>
      <c r="K17" s="10"/>
      <c r="L17" s="10"/>
      <c r="M17" s="10"/>
      <c r="N17" s="10"/>
    </row>
    <row r="18" spans="2:14" x14ac:dyDescent="0.3">
      <c r="B18" s="3" t="s">
        <v>143</v>
      </c>
      <c r="C18">
        <v>79</v>
      </c>
      <c r="J18" s="10"/>
      <c r="K18" s="10"/>
      <c r="L18" s="10"/>
      <c r="M18" s="10"/>
      <c r="N18" s="10"/>
    </row>
    <row r="19" spans="2:14" x14ac:dyDescent="0.3">
      <c r="B19" s="11" t="s">
        <v>157</v>
      </c>
      <c r="C19" s="12"/>
      <c r="J19" s="10"/>
      <c r="K19" s="10"/>
      <c r="L19" s="10"/>
      <c r="M19" s="10"/>
      <c r="N19" s="10"/>
    </row>
    <row r="20" spans="2:14" x14ac:dyDescent="0.3">
      <c r="B20" s="12"/>
      <c r="C20" s="12"/>
      <c r="J20" s="10"/>
      <c r="K20" s="10"/>
      <c r="L20" s="10"/>
      <c r="M20" s="10"/>
      <c r="N20" s="10"/>
    </row>
    <row r="21" spans="2:14" x14ac:dyDescent="0.3">
      <c r="B21" s="12"/>
      <c r="C21" s="12"/>
      <c r="J21" s="10"/>
      <c r="K21" s="10"/>
      <c r="L21" s="10"/>
      <c r="M21" s="10"/>
      <c r="N21" s="10"/>
    </row>
    <row r="22" spans="2:14" x14ac:dyDescent="0.3">
      <c r="B22" s="12"/>
      <c r="C22" s="12"/>
      <c r="J22" s="10"/>
      <c r="K22" s="10"/>
      <c r="L22" s="10"/>
      <c r="M22" s="10"/>
      <c r="N22" s="10"/>
    </row>
    <row r="23" spans="2:14" x14ac:dyDescent="0.3">
      <c r="B23" s="12"/>
      <c r="C23" s="12"/>
      <c r="J23" s="10"/>
      <c r="K23" s="10"/>
      <c r="L23" s="10"/>
      <c r="M23" s="10"/>
      <c r="N23" s="10"/>
    </row>
    <row r="24" spans="2:14" x14ac:dyDescent="0.3">
      <c r="B24" s="12"/>
      <c r="C24" s="12"/>
      <c r="J24" s="4"/>
    </row>
    <row r="25" spans="2:14" x14ac:dyDescent="0.3">
      <c r="B25" s="12"/>
      <c r="C25" s="12"/>
    </row>
  </sheetData>
  <mergeCells count="7">
    <mergeCell ref="B3:C3"/>
    <mergeCell ref="E3:H3"/>
    <mergeCell ref="E12:H16"/>
    <mergeCell ref="J3:N3"/>
    <mergeCell ref="J4:K4"/>
    <mergeCell ref="J13:N23"/>
    <mergeCell ref="B19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2C50-1C20-4134-800A-DBDA8EE0C177}">
  <dimension ref="B2:J28"/>
  <sheetViews>
    <sheetView tabSelected="1" workbookViewId="0">
      <selection activeCell="H9" sqref="H9"/>
    </sheetView>
  </sheetViews>
  <sheetFormatPr defaultRowHeight="14.4" x14ac:dyDescent="0.3"/>
  <cols>
    <col min="1" max="1" width="12" customWidth="1"/>
    <col min="2" max="2" width="17" bestFit="1" customWidth="1"/>
    <col min="3" max="3" width="23.109375" customWidth="1"/>
    <col min="5" max="5" width="12.44140625" customWidth="1"/>
    <col min="7" max="7" width="17" bestFit="1" customWidth="1"/>
    <col min="8" max="8" width="16.5546875" bestFit="1" customWidth="1"/>
    <col min="9" max="9" width="4.5546875" customWidth="1"/>
    <col min="10" max="10" width="3.88671875" customWidth="1"/>
  </cols>
  <sheetData>
    <row r="2" spans="2:10" ht="14.4" customHeight="1" x14ac:dyDescent="0.3">
      <c r="B2" s="13" t="s">
        <v>160</v>
      </c>
      <c r="C2" s="13"/>
      <c r="F2" s="14" t="s">
        <v>161</v>
      </c>
      <c r="G2" s="15"/>
      <c r="H2" s="15"/>
      <c r="I2" s="15"/>
      <c r="J2" s="15"/>
    </row>
    <row r="3" spans="2:10" x14ac:dyDescent="0.3">
      <c r="B3" s="13"/>
      <c r="C3" s="13"/>
      <c r="F3" s="15"/>
      <c r="G3" s="15"/>
      <c r="H3" s="15"/>
      <c r="I3" s="15"/>
      <c r="J3" s="15"/>
    </row>
    <row r="4" spans="2:10" x14ac:dyDescent="0.3">
      <c r="B4" s="2" t="s">
        <v>2</v>
      </c>
      <c r="C4" t="s" vm="2">
        <v>26</v>
      </c>
      <c r="G4" s="2" t="s">
        <v>2</v>
      </c>
      <c r="H4" t="s" vm="2">
        <v>26</v>
      </c>
    </row>
    <row r="6" spans="2:10" x14ac:dyDescent="0.3">
      <c r="B6" s="2" t="s">
        <v>158</v>
      </c>
      <c r="C6" t="s">
        <v>159</v>
      </c>
      <c r="G6" s="2" t="s">
        <v>158</v>
      </c>
      <c r="H6" t="s">
        <v>159</v>
      </c>
    </row>
    <row r="7" spans="2:10" x14ac:dyDescent="0.3">
      <c r="B7" s="3" t="s">
        <v>58</v>
      </c>
      <c r="C7">
        <v>15</v>
      </c>
      <c r="G7" s="3" t="s">
        <v>150</v>
      </c>
      <c r="H7">
        <v>14</v>
      </c>
    </row>
    <row r="8" spans="2:10" x14ac:dyDescent="0.3">
      <c r="B8" s="3" t="s">
        <v>87</v>
      </c>
      <c r="C8">
        <v>8</v>
      </c>
      <c r="G8" s="3" t="s">
        <v>149</v>
      </c>
      <c r="H8">
        <v>14</v>
      </c>
    </row>
    <row r="9" spans="2:10" x14ac:dyDescent="0.3">
      <c r="B9" s="3" t="s">
        <v>72</v>
      </c>
      <c r="C9">
        <v>7</v>
      </c>
      <c r="G9" s="3" t="s">
        <v>151</v>
      </c>
      <c r="H9">
        <v>9</v>
      </c>
    </row>
    <row r="10" spans="2:10" x14ac:dyDescent="0.3">
      <c r="B10" s="3" t="s">
        <v>31</v>
      </c>
      <c r="C10">
        <v>4</v>
      </c>
      <c r="G10" s="3" t="s">
        <v>163</v>
      </c>
      <c r="H10">
        <v>8</v>
      </c>
    </row>
    <row r="11" spans="2:10" x14ac:dyDescent="0.3">
      <c r="B11" s="3" t="s">
        <v>89</v>
      </c>
      <c r="C11">
        <v>3</v>
      </c>
      <c r="G11" s="3" t="s">
        <v>162</v>
      </c>
      <c r="H11">
        <v>7</v>
      </c>
    </row>
    <row r="12" spans="2:10" x14ac:dyDescent="0.3">
      <c r="B12" s="3" t="s">
        <v>36</v>
      </c>
      <c r="C12">
        <v>3</v>
      </c>
      <c r="G12" s="3" t="s">
        <v>143</v>
      </c>
      <c r="H12">
        <v>52</v>
      </c>
    </row>
    <row r="13" spans="2:10" x14ac:dyDescent="0.3">
      <c r="B13" s="3" t="s">
        <v>60</v>
      </c>
      <c r="C13">
        <v>2</v>
      </c>
    </row>
    <row r="14" spans="2:10" x14ac:dyDescent="0.3">
      <c r="B14" s="3" t="s">
        <v>114</v>
      </c>
      <c r="C14">
        <v>2</v>
      </c>
      <c r="G14" s="16" t="s">
        <v>168</v>
      </c>
      <c r="H14" s="17"/>
    </row>
    <row r="15" spans="2:10" x14ac:dyDescent="0.3">
      <c r="B15" s="3" t="s">
        <v>65</v>
      </c>
      <c r="C15">
        <v>2</v>
      </c>
      <c r="G15" s="17"/>
      <c r="H15" s="17"/>
    </row>
    <row r="16" spans="2:10" x14ac:dyDescent="0.3">
      <c r="B16" s="3" t="s">
        <v>133</v>
      </c>
      <c r="C16">
        <v>2</v>
      </c>
      <c r="G16" s="17"/>
      <c r="H16" s="17"/>
    </row>
    <row r="17" spans="2:8" x14ac:dyDescent="0.3">
      <c r="B17" s="3" t="s">
        <v>40</v>
      </c>
      <c r="C17">
        <v>1</v>
      </c>
      <c r="G17" s="17"/>
      <c r="H17" s="17"/>
    </row>
    <row r="18" spans="2:8" x14ac:dyDescent="0.3">
      <c r="B18" s="3" t="s">
        <v>46</v>
      </c>
      <c r="C18">
        <v>1</v>
      </c>
      <c r="G18" s="17"/>
      <c r="H18" s="17"/>
    </row>
    <row r="19" spans="2:8" x14ac:dyDescent="0.3">
      <c r="B19" s="3" t="s">
        <v>42</v>
      </c>
      <c r="C19">
        <v>1</v>
      </c>
      <c r="G19" s="17"/>
      <c r="H19" s="17"/>
    </row>
    <row r="20" spans="2:8" x14ac:dyDescent="0.3">
      <c r="B20" s="3" t="s">
        <v>44</v>
      </c>
      <c r="C20">
        <v>1</v>
      </c>
      <c r="G20" s="17"/>
      <c r="H20" s="17"/>
    </row>
    <row r="21" spans="2:8" x14ac:dyDescent="0.3">
      <c r="B21" s="3" t="s">
        <v>143</v>
      </c>
      <c r="C21">
        <v>52</v>
      </c>
    </row>
    <row r="23" spans="2:8" x14ac:dyDescent="0.3">
      <c r="B23" s="16" t="s">
        <v>167</v>
      </c>
      <c r="C23" s="17"/>
    </row>
    <row r="24" spans="2:8" x14ac:dyDescent="0.3">
      <c r="B24" s="17"/>
      <c r="C24" s="17"/>
    </row>
    <row r="25" spans="2:8" x14ac:dyDescent="0.3">
      <c r="B25" s="17"/>
      <c r="C25" s="17"/>
    </row>
    <row r="26" spans="2:8" x14ac:dyDescent="0.3">
      <c r="B26" s="17"/>
      <c r="C26" s="17"/>
    </row>
    <row r="27" spans="2:8" x14ac:dyDescent="0.3">
      <c r="B27" s="17"/>
      <c r="C27" s="17"/>
    </row>
    <row r="28" spans="2:8" x14ac:dyDescent="0.3">
      <c r="B28" s="17"/>
      <c r="C28" s="17"/>
    </row>
  </sheetData>
  <mergeCells count="4">
    <mergeCell ref="B2:C3"/>
    <mergeCell ref="F2:J3"/>
    <mergeCell ref="B23:C28"/>
    <mergeCell ref="G14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C69A-89EE-419B-ABA5-705D5E5AD92C}">
  <dimension ref="C2:M23"/>
  <sheetViews>
    <sheetView workbookViewId="0">
      <selection activeCell="D9" sqref="D9"/>
    </sheetView>
  </sheetViews>
  <sheetFormatPr defaultRowHeight="14.4" x14ac:dyDescent="0.3"/>
  <cols>
    <col min="3" max="3" width="32.33203125" bestFit="1" customWidth="1"/>
    <col min="4" max="4" width="14.21875" bestFit="1" customWidth="1"/>
    <col min="5" max="5" width="4.6640625" customWidth="1"/>
    <col min="6" max="6" width="5.109375" customWidth="1"/>
    <col min="8" max="8" width="12.44140625" bestFit="1" customWidth="1"/>
    <col min="9" max="9" width="11.44140625" bestFit="1" customWidth="1"/>
    <col min="10" max="10" width="14.21875" bestFit="1" customWidth="1"/>
    <col min="11" max="11" width="12.44140625" bestFit="1" customWidth="1"/>
    <col min="12" max="12" width="11.33203125" bestFit="1" customWidth="1"/>
  </cols>
  <sheetData>
    <row r="2" spans="3:13" x14ac:dyDescent="0.3">
      <c r="C2" s="14" t="s">
        <v>164</v>
      </c>
      <c r="D2" s="15"/>
      <c r="E2" s="15"/>
      <c r="F2" s="15"/>
      <c r="H2" s="13" t="s">
        <v>169</v>
      </c>
      <c r="I2" s="6"/>
      <c r="J2" s="6"/>
      <c r="K2" s="6"/>
      <c r="L2" s="6"/>
      <c r="M2" s="6"/>
    </row>
    <row r="3" spans="3:13" x14ac:dyDescent="0.3">
      <c r="C3" s="15"/>
      <c r="D3" s="15"/>
      <c r="E3" s="15"/>
      <c r="F3" s="15"/>
      <c r="H3" s="6"/>
      <c r="I3" s="6"/>
      <c r="J3" s="6"/>
      <c r="K3" s="6"/>
      <c r="L3" s="6"/>
      <c r="M3" s="6"/>
    </row>
    <row r="5" spans="3:13" x14ac:dyDescent="0.3">
      <c r="C5" s="2" t="s">
        <v>166</v>
      </c>
      <c r="D5" t="s">
        <v>165</v>
      </c>
      <c r="H5" s="2" t="s">
        <v>2</v>
      </c>
      <c r="I5" t="s">
        <v>11</v>
      </c>
      <c r="K5" s="2" t="s">
        <v>2</v>
      </c>
      <c r="L5" t="s">
        <v>26</v>
      </c>
    </row>
    <row r="6" spans="3:13" x14ac:dyDescent="0.3">
      <c r="C6" s="3" t="s">
        <v>62</v>
      </c>
      <c r="D6" s="5">
        <v>505</v>
      </c>
    </row>
    <row r="7" spans="3:13" x14ac:dyDescent="0.3">
      <c r="C7" s="3" t="s">
        <v>69</v>
      </c>
      <c r="D7" s="5">
        <v>426</v>
      </c>
      <c r="H7" s="2" t="s">
        <v>172</v>
      </c>
      <c r="I7" t="s">
        <v>170</v>
      </c>
      <c r="K7" s="2" t="s">
        <v>172</v>
      </c>
      <c r="L7" t="s">
        <v>171</v>
      </c>
    </row>
    <row r="8" spans="3:13" x14ac:dyDescent="0.3">
      <c r="C8" s="3" t="s">
        <v>83</v>
      </c>
      <c r="D8" s="5">
        <v>362.83333333333331</v>
      </c>
      <c r="H8" s="3" t="s">
        <v>149</v>
      </c>
      <c r="I8">
        <v>37</v>
      </c>
      <c r="K8" s="3" t="s">
        <v>150</v>
      </c>
      <c r="L8">
        <v>14</v>
      </c>
    </row>
    <row r="9" spans="3:13" x14ac:dyDescent="0.3">
      <c r="C9" s="3" t="s">
        <v>142</v>
      </c>
      <c r="D9" s="5">
        <v>320</v>
      </c>
      <c r="H9" s="3" t="s">
        <v>151</v>
      </c>
      <c r="I9">
        <v>21</v>
      </c>
      <c r="K9" s="3" t="s">
        <v>149</v>
      </c>
      <c r="L9">
        <v>14</v>
      </c>
    </row>
    <row r="10" spans="3:13" x14ac:dyDescent="0.3">
      <c r="C10" s="3" t="s">
        <v>96</v>
      </c>
      <c r="D10" s="5">
        <v>267.66666666666669</v>
      </c>
      <c r="H10" s="3" t="s">
        <v>150</v>
      </c>
      <c r="I10">
        <v>21</v>
      </c>
      <c r="K10" s="3" t="s">
        <v>151</v>
      </c>
      <c r="L10">
        <v>9</v>
      </c>
    </row>
    <row r="11" spans="3:13" x14ac:dyDescent="0.3">
      <c r="C11" s="3" t="s">
        <v>132</v>
      </c>
      <c r="D11" s="5">
        <v>266.91666666666669</v>
      </c>
      <c r="H11" s="3" t="s">
        <v>143</v>
      </c>
      <c r="I11">
        <v>79</v>
      </c>
      <c r="K11" s="3" t="s">
        <v>163</v>
      </c>
      <c r="L11">
        <v>8</v>
      </c>
    </row>
    <row r="12" spans="3:13" x14ac:dyDescent="0.3">
      <c r="C12" s="3" t="s">
        <v>50</v>
      </c>
      <c r="D12" s="5">
        <v>255.36363636363637</v>
      </c>
      <c r="K12" s="3" t="s">
        <v>162</v>
      </c>
      <c r="L12">
        <v>7</v>
      </c>
    </row>
    <row r="13" spans="3:13" x14ac:dyDescent="0.3">
      <c r="C13" s="3" t="s">
        <v>105</v>
      </c>
      <c r="D13" s="5">
        <v>253.77777777777777</v>
      </c>
      <c r="K13" s="3" t="s">
        <v>143</v>
      </c>
      <c r="L13">
        <v>52</v>
      </c>
    </row>
    <row r="14" spans="3:13" x14ac:dyDescent="0.3">
      <c r="C14" s="3" t="s">
        <v>120</v>
      </c>
      <c r="D14" s="5">
        <v>213.63636363636363</v>
      </c>
    </row>
    <row r="15" spans="3:13" x14ac:dyDescent="0.3">
      <c r="C15" s="3" t="s">
        <v>9</v>
      </c>
      <c r="D15" s="5">
        <v>177.75</v>
      </c>
    </row>
    <row r="17" spans="3:12" x14ac:dyDescent="0.3">
      <c r="C17" s="16" t="s">
        <v>173</v>
      </c>
      <c r="D17" s="17"/>
      <c r="H17" s="16" t="s">
        <v>174</v>
      </c>
      <c r="I17" s="17"/>
      <c r="J17" s="17"/>
      <c r="K17" s="17"/>
      <c r="L17" s="17"/>
    </row>
    <row r="18" spans="3:12" x14ac:dyDescent="0.3">
      <c r="C18" s="17"/>
      <c r="D18" s="17"/>
      <c r="H18" s="17"/>
      <c r="I18" s="17"/>
      <c r="J18" s="17"/>
      <c r="K18" s="17"/>
      <c r="L18" s="17"/>
    </row>
    <row r="19" spans="3:12" x14ac:dyDescent="0.3">
      <c r="C19" s="17"/>
      <c r="D19" s="17"/>
      <c r="H19" s="17"/>
      <c r="I19" s="17"/>
      <c r="J19" s="17"/>
      <c r="K19" s="17"/>
      <c r="L19" s="17"/>
    </row>
    <row r="20" spans="3:12" x14ac:dyDescent="0.3">
      <c r="C20" s="17"/>
      <c r="D20" s="17"/>
      <c r="H20" s="17"/>
      <c r="I20" s="17"/>
      <c r="J20" s="17"/>
      <c r="K20" s="17"/>
      <c r="L20" s="17"/>
    </row>
    <row r="21" spans="3:12" x14ac:dyDescent="0.3">
      <c r="C21" s="17"/>
      <c r="D21" s="17"/>
      <c r="H21" s="17"/>
      <c r="I21" s="17"/>
      <c r="J21" s="17"/>
      <c r="K21" s="17"/>
      <c r="L21" s="17"/>
    </row>
    <row r="22" spans="3:12" x14ac:dyDescent="0.3">
      <c r="C22" s="17"/>
      <c r="D22" s="17"/>
      <c r="H22" s="17"/>
      <c r="I22" s="17"/>
      <c r="J22" s="17"/>
      <c r="K22" s="17"/>
      <c r="L22" s="17"/>
    </row>
    <row r="23" spans="3:12" x14ac:dyDescent="0.3">
      <c r="C23" s="17"/>
      <c r="D23" s="17"/>
      <c r="H23" s="17"/>
      <c r="I23" s="17"/>
      <c r="J23" s="17"/>
      <c r="K23" s="17"/>
      <c r="L23" s="17"/>
    </row>
  </sheetData>
  <mergeCells count="4">
    <mergeCell ref="C2:F3"/>
    <mergeCell ref="H2:M3"/>
    <mergeCell ref="C17:D23"/>
    <mergeCell ref="H17:L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4177-7711-4BA9-B759-56EAF24BE65A}">
  <dimension ref="A1:J132"/>
  <sheetViews>
    <sheetView workbookViewId="0">
      <selection sqref="A1:XFD1048576"/>
    </sheetView>
  </sheetViews>
  <sheetFormatPr defaultRowHeight="14.4" x14ac:dyDescent="0.3"/>
  <cols>
    <col min="1" max="1" width="4.88671875" bestFit="1" customWidth="1"/>
    <col min="2" max="2" width="32.33203125" bestFit="1" customWidth="1"/>
    <col min="3" max="3" width="27.88671875" bestFit="1" customWidth="1"/>
    <col min="4" max="4" width="12.5546875" bestFit="1" customWidth="1"/>
    <col min="5" max="5" width="18.77734375" bestFit="1" customWidth="1"/>
    <col min="6" max="6" width="35.88671875" bestFit="1" customWidth="1"/>
    <col min="7" max="7" width="6.109375" customWidth="1"/>
    <col min="8" max="8" width="12.44140625" bestFit="1" customWidth="1"/>
    <col min="9" max="9" width="10.33203125" bestFit="1" customWidth="1"/>
    <col min="10" max="10" width="11.44140625" bestFit="1" customWidth="1"/>
  </cols>
  <sheetData>
    <row r="1" spans="1:10" s="1" customFormat="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48</v>
      </c>
      <c r="J1" s="1" t="s">
        <v>8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>
        <v>119</v>
      </c>
      <c r="H2" t="s">
        <v>52</v>
      </c>
      <c r="I2">
        <v>4.9000000000000004</v>
      </c>
      <c r="J2" t="str">
        <f>IF(G2&lt;=199,"₹99–199",
IF(G2&lt;=299,"₹200–299",
IF(G2&lt;=399,"₹300–399",IF(G2&lt;=499,"₹400-499","₹500+"))))</f>
        <v>₹99–199</v>
      </c>
    </row>
    <row r="3" spans="1:10" x14ac:dyDescent="0.3">
      <c r="A3">
        <v>2</v>
      </c>
      <c r="B3" t="s">
        <v>9</v>
      </c>
      <c r="C3" t="s">
        <v>10</v>
      </c>
      <c r="D3" t="s">
        <v>11</v>
      </c>
      <c r="E3" t="s">
        <v>13</v>
      </c>
      <c r="F3" t="s">
        <v>13</v>
      </c>
      <c r="G3">
        <v>139</v>
      </c>
      <c r="H3" t="s">
        <v>53</v>
      </c>
      <c r="I3">
        <v>4.9000000000000004</v>
      </c>
      <c r="J3" t="str">
        <f t="shared" ref="J3:J66" si="0">IF(G3&lt;=199,"₹99–199",
IF(G3&lt;=299,"₹200–299",
IF(G3&lt;=399,"₹300–399",IF(G3&lt;=499,"₹400-499","₹500+"))))</f>
        <v>₹99–199</v>
      </c>
    </row>
    <row r="4" spans="1:10" x14ac:dyDescent="0.3">
      <c r="A4">
        <v>3</v>
      </c>
      <c r="B4" t="s">
        <v>9</v>
      </c>
      <c r="C4" t="s">
        <v>10</v>
      </c>
      <c r="D4" t="s">
        <v>11</v>
      </c>
      <c r="E4" t="s">
        <v>14</v>
      </c>
      <c r="F4" t="s">
        <v>14</v>
      </c>
      <c r="G4">
        <v>179</v>
      </c>
      <c r="H4" t="s">
        <v>52</v>
      </c>
      <c r="I4">
        <v>4.9000000000000004</v>
      </c>
      <c r="J4" t="str">
        <f t="shared" si="0"/>
        <v>₹99–199</v>
      </c>
    </row>
    <row r="5" spans="1:10" x14ac:dyDescent="0.3">
      <c r="A5">
        <v>4</v>
      </c>
      <c r="B5" t="s">
        <v>9</v>
      </c>
      <c r="C5" t="s">
        <v>10</v>
      </c>
      <c r="D5" t="s">
        <v>11</v>
      </c>
      <c r="E5" t="s">
        <v>19</v>
      </c>
      <c r="F5" t="s">
        <v>16</v>
      </c>
      <c r="G5">
        <v>179</v>
      </c>
      <c r="H5" t="s">
        <v>52</v>
      </c>
      <c r="I5">
        <v>4.9000000000000004</v>
      </c>
      <c r="J5" t="str">
        <f t="shared" si="0"/>
        <v>₹99–199</v>
      </c>
    </row>
    <row r="6" spans="1:10" x14ac:dyDescent="0.3">
      <c r="A6">
        <v>5</v>
      </c>
      <c r="B6" t="s">
        <v>9</v>
      </c>
      <c r="C6" t="s">
        <v>10</v>
      </c>
      <c r="D6" t="s">
        <v>11</v>
      </c>
      <c r="E6" t="s">
        <v>18</v>
      </c>
      <c r="F6" t="s">
        <v>17</v>
      </c>
      <c r="G6">
        <v>179</v>
      </c>
      <c r="H6" t="s">
        <v>52</v>
      </c>
      <c r="I6">
        <v>4.9000000000000004</v>
      </c>
      <c r="J6" t="str">
        <f t="shared" si="0"/>
        <v>₹99–199</v>
      </c>
    </row>
    <row r="7" spans="1:10" x14ac:dyDescent="0.3">
      <c r="A7">
        <v>6</v>
      </c>
      <c r="B7" t="s">
        <v>9</v>
      </c>
      <c r="C7" t="s">
        <v>10</v>
      </c>
      <c r="D7" t="s">
        <v>11</v>
      </c>
      <c r="E7" t="s">
        <v>15</v>
      </c>
      <c r="F7" t="s">
        <v>15</v>
      </c>
      <c r="G7">
        <v>199</v>
      </c>
      <c r="H7" t="s">
        <v>52</v>
      </c>
      <c r="I7">
        <v>4.9000000000000004</v>
      </c>
      <c r="J7" t="str">
        <f t="shared" si="0"/>
        <v>₹99–199</v>
      </c>
    </row>
    <row r="8" spans="1:10" x14ac:dyDescent="0.3">
      <c r="A8">
        <v>7</v>
      </c>
      <c r="B8" t="s">
        <v>9</v>
      </c>
      <c r="C8" t="s">
        <v>10</v>
      </c>
      <c r="D8" t="s">
        <v>11</v>
      </c>
      <c r="E8" t="s">
        <v>20</v>
      </c>
      <c r="F8" t="s">
        <v>24</v>
      </c>
      <c r="G8">
        <v>179</v>
      </c>
      <c r="H8" t="s">
        <v>53</v>
      </c>
      <c r="I8">
        <v>4.9000000000000004</v>
      </c>
      <c r="J8" t="str">
        <f t="shared" si="0"/>
        <v>₹99–199</v>
      </c>
    </row>
    <row r="9" spans="1:10" x14ac:dyDescent="0.3">
      <c r="A9">
        <v>8</v>
      </c>
      <c r="B9" t="s">
        <v>9</v>
      </c>
      <c r="C9" t="s">
        <v>10</v>
      </c>
      <c r="D9" t="s">
        <v>11</v>
      </c>
      <c r="E9" t="s">
        <v>21</v>
      </c>
      <c r="F9" t="s">
        <v>21</v>
      </c>
      <c r="G9">
        <v>179</v>
      </c>
      <c r="H9" t="s">
        <v>53</v>
      </c>
      <c r="I9">
        <v>4.9000000000000004</v>
      </c>
      <c r="J9" t="str">
        <f t="shared" si="0"/>
        <v>₹99–199</v>
      </c>
    </row>
    <row r="10" spans="1:10" x14ac:dyDescent="0.3">
      <c r="A10">
        <v>9</v>
      </c>
      <c r="B10" t="s">
        <v>9</v>
      </c>
      <c r="C10" t="s">
        <v>10</v>
      </c>
      <c r="D10" t="s">
        <v>11</v>
      </c>
      <c r="E10" t="s">
        <v>22</v>
      </c>
      <c r="F10" t="s">
        <v>22</v>
      </c>
      <c r="G10">
        <v>179</v>
      </c>
      <c r="H10" t="s">
        <v>52</v>
      </c>
      <c r="I10">
        <v>4.9000000000000004</v>
      </c>
      <c r="J10" t="str">
        <f t="shared" si="0"/>
        <v>₹99–199</v>
      </c>
    </row>
    <row r="11" spans="1:10" x14ac:dyDescent="0.3">
      <c r="A11">
        <v>10</v>
      </c>
      <c r="B11" t="s">
        <v>9</v>
      </c>
      <c r="C11" t="s">
        <v>10</v>
      </c>
      <c r="D11" t="s">
        <v>11</v>
      </c>
      <c r="E11" t="s">
        <v>23</v>
      </c>
      <c r="F11" t="s">
        <v>25</v>
      </c>
      <c r="G11">
        <v>189</v>
      </c>
      <c r="H11" t="s">
        <v>52</v>
      </c>
      <c r="I11">
        <v>4.9000000000000004</v>
      </c>
      <c r="J11" t="str">
        <f t="shared" si="0"/>
        <v>₹99–199</v>
      </c>
    </row>
    <row r="12" spans="1:10" x14ac:dyDescent="0.3">
      <c r="A12">
        <v>11</v>
      </c>
      <c r="B12" t="s">
        <v>9</v>
      </c>
      <c r="C12" t="s">
        <v>10</v>
      </c>
      <c r="D12" t="s">
        <v>26</v>
      </c>
      <c r="E12" t="s">
        <v>87</v>
      </c>
      <c r="F12" t="s">
        <v>28</v>
      </c>
      <c r="G12">
        <v>119</v>
      </c>
      <c r="H12" t="s">
        <v>52</v>
      </c>
      <c r="I12">
        <v>4.9000000000000004</v>
      </c>
      <c r="J12" t="str">
        <f t="shared" si="0"/>
        <v>₹99–199</v>
      </c>
    </row>
    <row r="13" spans="1:10" x14ac:dyDescent="0.3">
      <c r="A13">
        <v>12</v>
      </c>
      <c r="B13" t="s">
        <v>9</v>
      </c>
      <c r="C13" t="s">
        <v>10</v>
      </c>
      <c r="D13" t="s">
        <v>26</v>
      </c>
      <c r="E13" t="s">
        <v>87</v>
      </c>
      <c r="F13" t="s">
        <v>29</v>
      </c>
      <c r="G13">
        <v>129</v>
      </c>
      <c r="H13" t="s">
        <v>52</v>
      </c>
      <c r="I13">
        <v>4.9000000000000004</v>
      </c>
      <c r="J13" t="str">
        <f t="shared" si="0"/>
        <v>₹99–199</v>
      </c>
    </row>
    <row r="14" spans="1:10" x14ac:dyDescent="0.3">
      <c r="A14">
        <v>13</v>
      </c>
      <c r="B14" t="s">
        <v>9</v>
      </c>
      <c r="C14" t="s">
        <v>10</v>
      </c>
      <c r="D14" t="s">
        <v>26</v>
      </c>
      <c r="E14" t="s">
        <v>87</v>
      </c>
      <c r="F14" t="s">
        <v>30</v>
      </c>
      <c r="G14">
        <v>149</v>
      </c>
      <c r="H14" t="s">
        <v>53</v>
      </c>
      <c r="I14">
        <v>4.9000000000000004</v>
      </c>
      <c r="J14" t="str">
        <f t="shared" si="0"/>
        <v>₹99–199</v>
      </c>
    </row>
    <row r="15" spans="1:10" x14ac:dyDescent="0.3">
      <c r="A15">
        <v>14</v>
      </c>
      <c r="B15" t="s">
        <v>9</v>
      </c>
      <c r="C15" t="s">
        <v>10</v>
      </c>
      <c r="D15" t="s">
        <v>26</v>
      </c>
      <c r="E15" t="s">
        <v>31</v>
      </c>
      <c r="F15" t="s">
        <v>32</v>
      </c>
      <c r="G15">
        <v>199</v>
      </c>
      <c r="H15" t="s">
        <v>53</v>
      </c>
      <c r="I15">
        <v>4.9000000000000004</v>
      </c>
      <c r="J15" t="str">
        <f t="shared" si="0"/>
        <v>₹99–199</v>
      </c>
    </row>
    <row r="16" spans="1:10" x14ac:dyDescent="0.3">
      <c r="A16">
        <v>15</v>
      </c>
      <c r="B16" t="s">
        <v>9</v>
      </c>
      <c r="C16" t="s">
        <v>10</v>
      </c>
      <c r="D16" t="s">
        <v>26</v>
      </c>
      <c r="E16" t="s">
        <v>31</v>
      </c>
      <c r="F16" t="s">
        <v>33</v>
      </c>
      <c r="G16">
        <v>199</v>
      </c>
      <c r="H16" t="s">
        <v>53</v>
      </c>
      <c r="I16">
        <v>4.9000000000000004</v>
      </c>
      <c r="J16" t="str">
        <f t="shared" si="0"/>
        <v>₹99–199</v>
      </c>
    </row>
    <row r="17" spans="1:10" x14ac:dyDescent="0.3">
      <c r="A17">
        <v>16</v>
      </c>
      <c r="B17" t="s">
        <v>9</v>
      </c>
      <c r="C17" t="s">
        <v>10</v>
      </c>
      <c r="D17" t="s">
        <v>26</v>
      </c>
      <c r="E17" t="s">
        <v>31</v>
      </c>
      <c r="F17" t="s">
        <v>34</v>
      </c>
      <c r="G17">
        <v>219</v>
      </c>
      <c r="H17" t="s">
        <v>52</v>
      </c>
      <c r="I17">
        <v>4.9000000000000004</v>
      </c>
      <c r="J17" t="str">
        <f t="shared" si="0"/>
        <v>₹200–299</v>
      </c>
    </row>
    <row r="18" spans="1:10" x14ac:dyDescent="0.3">
      <c r="A18">
        <v>17</v>
      </c>
      <c r="B18" t="s">
        <v>9</v>
      </c>
      <c r="C18" t="s">
        <v>10</v>
      </c>
      <c r="D18" t="s">
        <v>26</v>
      </c>
      <c r="E18" t="s">
        <v>31</v>
      </c>
      <c r="F18" t="s">
        <v>35</v>
      </c>
      <c r="G18">
        <v>219</v>
      </c>
      <c r="H18" t="s">
        <v>53</v>
      </c>
      <c r="I18">
        <v>4.9000000000000004</v>
      </c>
      <c r="J18" t="str">
        <f t="shared" si="0"/>
        <v>₹200–299</v>
      </c>
    </row>
    <row r="19" spans="1:10" x14ac:dyDescent="0.3">
      <c r="A19">
        <v>18</v>
      </c>
      <c r="B19" t="s">
        <v>9</v>
      </c>
      <c r="C19" t="s">
        <v>10</v>
      </c>
      <c r="D19" t="s">
        <v>26</v>
      </c>
      <c r="E19" t="s">
        <v>36</v>
      </c>
      <c r="F19" t="s">
        <v>37</v>
      </c>
      <c r="G19">
        <v>129</v>
      </c>
      <c r="H19" t="s">
        <v>53</v>
      </c>
      <c r="I19">
        <v>4.9000000000000004</v>
      </c>
      <c r="J19" t="str">
        <f t="shared" si="0"/>
        <v>₹99–199</v>
      </c>
    </row>
    <row r="20" spans="1:10" x14ac:dyDescent="0.3">
      <c r="A20">
        <v>19</v>
      </c>
      <c r="B20" t="s">
        <v>9</v>
      </c>
      <c r="C20" t="s">
        <v>10</v>
      </c>
      <c r="D20" t="s">
        <v>26</v>
      </c>
      <c r="E20" t="s">
        <v>36</v>
      </c>
      <c r="F20" t="s">
        <v>38</v>
      </c>
      <c r="G20">
        <v>169</v>
      </c>
      <c r="H20" t="s">
        <v>53</v>
      </c>
      <c r="I20">
        <v>4.9000000000000004</v>
      </c>
      <c r="J20" t="str">
        <f t="shared" si="0"/>
        <v>₹99–199</v>
      </c>
    </row>
    <row r="21" spans="1:10" x14ac:dyDescent="0.3">
      <c r="A21">
        <v>20</v>
      </c>
      <c r="B21" t="s">
        <v>9</v>
      </c>
      <c r="C21" t="s">
        <v>10</v>
      </c>
      <c r="D21" t="s">
        <v>26</v>
      </c>
      <c r="E21" t="s">
        <v>36</v>
      </c>
      <c r="F21" t="s">
        <v>39</v>
      </c>
      <c r="G21">
        <v>199</v>
      </c>
      <c r="H21" t="s">
        <v>52</v>
      </c>
      <c r="I21">
        <v>4.9000000000000004</v>
      </c>
      <c r="J21" t="str">
        <f t="shared" si="0"/>
        <v>₹99–199</v>
      </c>
    </row>
    <row r="22" spans="1:10" x14ac:dyDescent="0.3">
      <c r="A22">
        <v>21</v>
      </c>
      <c r="B22" t="s">
        <v>9</v>
      </c>
      <c r="C22" t="s">
        <v>10</v>
      </c>
      <c r="D22" t="s">
        <v>26</v>
      </c>
      <c r="E22" t="s">
        <v>40</v>
      </c>
      <c r="F22" t="s">
        <v>41</v>
      </c>
      <c r="G22">
        <v>199</v>
      </c>
      <c r="H22" t="s">
        <v>52</v>
      </c>
      <c r="I22">
        <v>4.9000000000000004</v>
      </c>
      <c r="J22" t="str">
        <f t="shared" si="0"/>
        <v>₹99–199</v>
      </c>
    </row>
    <row r="23" spans="1:10" x14ac:dyDescent="0.3">
      <c r="A23">
        <v>22</v>
      </c>
      <c r="B23" t="s">
        <v>9</v>
      </c>
      <c r="C23" t="s">
        <v>10</v>
      </c>
      <c r="D23" t="s">
        <v>26</v>
      </c>
      <c r="E23" t="s">
        <v>42</v>
      </c>
      <c r="F23" t="s">
        <v>43</v>
      </c>
      <c r="G23">
        <v>169</v>
      </c>
      <c r="H23" t="s">
        <v>52</v>
      </c>
      <c r="I23">
        <v>4.9000000000000004</v>
      </c>
      <c r="J23" t="str">
        <f t="shared" si="0"/>
        <v>₹99–199</v>
      </c>
    </row>
    <row r="24" spans="1:10" x14ac:dyDescent="0.3">
      <c r="A24">
        <v>23</v>
      </c>
      <c r="B24" t="s">
        <v>9</v>
      </c>
      <c r="C24" t="s">
        <v>10</v>
      </c>
      <c r="D24" t="s">
        <v>26</v>
      </c>
      <c r="E24" t="s">
        <v>44</v>
      </c>
      <c r="F24" t="s">
        <v>45</v>
      </c>
      <c r="G24">
        <v>199</v>
      </c>
      <c r="H24" t="s">
        <v>53</v>
      </c>
      <c r="I24">
        <v>4.9000000000000004</v>
      </c>
      <c r="J24" t="str">
        <f t="shared" si="0"/>
        <v>₹99–199</v>
      </c>
    </row>
    <row r="25" spans="1:10" x14ac:dyDescent="0.3">
      <c r="A25">
        <v>24</v>
      </c>
      <c r="B25" t="s">
        <v>9</v>
      </c>
      <c r="C25" t="s">
        <v>10</v>
      </c>
      <c r="D25" t="s">
        <v>26</v>
      </c>
      <c r="E25" t="s">
        <v>46</v>
      </c>
      <c r="F25" t="s">
        <v>47</v>
      </c>
      <c r="G25">
        <v>249</v>
      </c>
      <c r="H25" t="s">
        <v>52</v>
      </c>
      <c r="I25">
        <v>4.9000000000000004</v>
      </c>
      <c r="J25" t="str">
        <f t="shared" si="0"/>
        <v>₹200–299</v>
      </c>
    </row>
    <row r="26" spans="1:10" x14ac:dyDescent="0.3">
      <c r="A26">
        <v>25</v>
      </c>
      <c r="B26" t="s">
        <v>50</v>
      </c>
      <c r="C26" t="s">
        <v>51</v>
      </c>
      <c r="D26" t="s">
        <v>11</v>
      </c>
      <c r="E26" t="s">
        <v>14</v>
      </c>
      <c r="F26" t="s">
        <v>14</v>
      </c>
      <c r="G26">
        <v>219</v>
      </c>
      <c r="H26" t="s">
        <v>52</v>
      </c>
      <c r="I26">
        <v>4.5999999999999996</v>
      </c>
      <c r="J26" t="str">
        <f t="shared" si="0"/>
        <v>₹200–299</v>
      </c>
    </row>
    <row r="27" spans="1:10" x14ac:dyDescent="0.3">
      <c r="A27">
        <v>26</v>
      </c>
      <c r="B27" t="s">
        <v>50</v>
      </c>
      <c r="C27" t="s">
        <v>51</v>
      </c>
      <c r="D27" t="s">
        <v>11</v>
      </c>
      <c r="E27" t="s">
        <v>19</v>
      </c>
      <c r="F27" t="s">
        <v>19</v>
      </c>
      <c r="G27">
        <v>219</v>
      </c>
      <c r="H27" t="s">
        <v>53</v>
      </c>
      <c r="I27">
        <v>4.5999999999999996</v>
      </c>
      <c r="J27" t="str">
        <f t="shared" si="0"/>
        <v>₹200–299</v>
      </c>
    </row>
    <row r="28" spans="1:10" x14ac:dyDescent="0.3">
      <c r="A28">
        <v>27</v>
      </c>
      <c r="B28" t="s">
        <v>50</v>
      </c>
      <c r="C28" t="s">
        <v>51</v>
      </c>
      <c r="D28" t="s">
        <v>11</v>
      </c>
      <c r="E28" t="s">
        <v>23</v>
      </c>
      <c r="F28" t="s">
        <v>54</v>
      </c>
      <c r="G28">
        <v>269</v>
      </c>
      <c r="H28" t="s">
        <v>52</v>
      </c>
      <c r="I28">
        <v>4.5999999999999996</v>
      </c>
      <c r="J28" t="str">
        <f t="shared" si="0"/>
        <v>₹200–299</v>
      </c>
    </row>
    <row r="29" spans="1:10" x14ac:dyDescent="0.3">
      <c r="A29">
        <v>28</v>
      </c>
      <c r="B29" t="s">
        <v>50</v>
      </c>
      <c r="C29" t="s">
        <v>51</v>
      </c>
      <c r="D29" t="s">
        <v>11</v>
      </c>
      <c r="E29" t="s">
        <v>23</v>
      </c>
      <c r="F29" t="s">
        <v>55</v>
      </c>
      <c r="G29">
        <v>269</v>
      </c>
      <c r="H29" t="s">
        <v>52</v>
      </c>
      <c r="I29">
        <v>4.5999999999999996</v>
      </c>
      <c r="J29" t="str">
        <f t="shared" si="0"/>
        <v>₹200–299</v>
      </c>
    </row>
    <row r="30" spans="1:10" x14ac:dyDescent="0.3">
      <c r="A30">
        <v>29</v>
      </c>
      <c r="B30" t="s">
        <v>50</v>
      </c>
      <c r="C30" t="s">
        <v>51</v>
      </c>
      <c r="D30" t="s">
        <v>11</v>
      </c>
      <c r="E30" t="s">
        <v>13</v>
      </c>
      <c r="F30" t="s">
        <v>13</v>
      </c>
      <c r="G30">
        <v>229</v>
      </c>
      <c r="H30" t="s">
        <v>52</v>
      </c>
      <c r="I30">
        <v>4.5999999999999996</v>
      </c>
      <c r="J30" t="str">
        <f t="shared" si="0"/>
        <v>₹200–299</v>
      </c>
    </row>
    <row r="31" spans="1:10" x14ac:dyDescent="0.3">
      <c r="A31">
        <v>30</v>
      </c>
      <c r="B31" t="s">
        <v>50</v>
      </c>
      <c r="C31" t="s">
        <v>51</v>
      </c>
      <c r="D31" t="s">
        <v>11</v>
      </c>
      <c r="E31" t="s">
        <v>12</v>
      </c>
      <c r="F31" t="s">
        <v>12</v>
      </c>
      <c r="G31">
        <v>229</v>
      </c>
      <c r="H31" t="s">
        <v>53</v>
      </c>
      <c r="I31">
        <v>4.5999999999999996</v>
      </c>
      <c r="J31" t="str">
        <f t="shared" si="0"/>
        <v>₹200–299</v>
      </c>
    </row>
    <row r="32" spans="1:10" x14ac:dyDescent="0.3">
      <c r="A32">
        <v>31</v>
      </c>
      <c r="B32" t="s">
        <v>50</v>
      </c>
      <c r="C32" t="s">
        <v>51</v>
      </c>
      <c r="D32" t="s">
        <v>26</v>
      </c>
      <c r="E32" t="s">
        <v>58</v>
      </c>
      <c r="F32" t="s">
        <v>56</v>
      </c>
      <c r="G32">
        <v>369</v>
      </c>
      <c r="H32" t="s">
        <v>52</v>
      </c>
      <c r="I32">
        <v>4.5999999999999996</v>
      </c>
      <c r="J32" t="str">
        <f t="shared" si="0"/>
        <v>₹300–399</v>
      </c>
    </row>
    <row r="33" spans="1:10" x14ac:dyDescent="0.3">
      <c r="A33">
        <v>32</v>
      </c>
      <c r="B33" t="s">
        <v>50</v>
      </c>
      <c r="C33" t="s">
        <v>51</v>
      </c>
      <c r="D33" t="s">
        <v>26</v>
      </c>
      <c r="E33" t="s">
        <v>58</v>
      </c>
      <c r="F33" t="s">
        <v>57</v>
      </c>
      <c r="G33">
        <v>369</v>
      </c>
      <c r="H33" t="s">
        <v>53</v>
      </c>
      <c r="I33">
        <v>4.5999999999999996</v>
      </c>
      <c r="J33" t="str">
        <f t="shared" si="0"/>
        <v>₹300–399</v>
      </c>
    </row>
    <row r="34" spans="1:10" x14ac:dyDescent="0.3">
      <c r="A34">
        <v>33</v>
      </c>
      <c r="B34" t="s">
        <v>50</v>
      </c>
      <c r="C34" t="s">
        <v>51</v>
      </c>
      <c r="D34" t="s">
        <v>11</v>
      </c>
      <c r="E34" t="s">
        <v>23</v>
      </c>
      <c r="F34" t="s">
        <v>59</v>
      </c>
      <c r="G34">
        <v>219</v>
      </c>
      <c r="H34" t="s">
        <v>52</v>
      </c>
      <c r="I34">
        <v>4.5999999999999996</v>
      </c>
      <c r="J34" t="str">
        <f t="shared" si="0"/>
        <v>₹200–299</v>
      </c>
    </row>
    <row r="35" spans="1:10" x14ac:dyDescent="0.3">
      <c r="A35">
        <v>34</v>
      </c>
      <c r="B35" t="s">
        <v>50</v>
      </c>
      <c r="C35" t="s">
        <v>51</v>
      </c>
      <c r="D35" t="s">
        <v>11</v>
      </c>
      <c r="E35" t="s">
        <v>18</v>
      </c>
      <c r="F35" t="s">
        <v>22</v>
      </c>
      <c r="G35">
        <v>259</v>
      </c>
      <c r="H35" t="s">
        <v>53</v>
      </c>
      <c r="I35">
        <v>4.5999999999999996</v>
      </c>
      <c r="J35" t="str">
        <f t="shared" si="0"/>
        <v>₹200–299</v>
      </c>
    </row>
    <row r="36" spans="1:10" x14ac:dyDescent="0.3">
      <c r="A36">
        <v>35</v>
      </c>
      <c r="B36" t="s">
        <v>50</v>
      </c>
      <c r="C36" t="s">
        <v>51</v>
      </c>
      <c r="D36" t="s">
        <v>26</v>
      </c>
      <c r="E36" t="s">
        <v>60</v>
      </c>
      <c r="F36" t="s">
        <v>61</v>
      </c>
      <c r="G36">
        <v>159</v>
      </c>
      <c r="H36" t="s">
        <v>53</v>
      </c>
      <c r="I36">
        <v>4.5999999999999996</v>
      </c>
      <c r="J36" t="str">
        <f t="shared" si="0"/>
        <v>₹99–199</v>
      </c>
    </row>
    <row r="37" spans="1:10" x14ac:dyDescent="0.3">
      <c r="A37">
        <v>36</v>
      </c>
      <c r="B37" t="s">
        <v>62</v>
      </c>
      <c r="C37" t="s">
        <v>63</v>
      </c>
      <c r="D37" t="s">
        <v>11</v>
      </c>
      <c r="E37" t="s">
        <v>14</v>
      </c>
      <c r="F37" t="s">
        <v>14</v>
      </c>
      <c r="G37">
        <v>285</v>
      </c>
      <c r="H37" t="s">
        <v>52</v>
      </c>
      <c r="I37">
        <v>4.5</v>
      </c>
      <c r="J37" t="str">
        <f t="shared" si="0"/>
        <v>₹200–299</v>
      </c>
    </row>
    <row r="38" spans="1:10" x14ac:dyDescent="0.3">
      <c r="A38">
        <v>37</v>
      </c>
      <c r="B38" t="s">
        <v>62</v>
      </c>
      <c r="C38" t="s">
        <v>63</v>
      </c>
      <c r="D38" t="s">
        <v>11</v>
      </c>
      <c r="E38" t="s">
        <v>19</v>
      </c>
      <c r="F38" t="s">
        <v>19</v>
      </c>
      <c r="G38">
        <v>285</v>
      </c>
      <c r="H38" t="s">
        <v>52</v>
      </c>
      <c r="I38">
        <v>4.5</v>
      </c>
      <c r="J38" t="str">
        <f t="shared" si="0"/>
        <v>₹200–299</v>
      </c>
    </row>
    <row r="39" spans="1:10" x14ac:dyDescent="0.3">
      <c r="A39">
        <v>38</v>
      </c>
      <c r="B39" t="s">
        <v>62</v>
      </c>
      <c r="C39" t="s">
        <v>63</v>
      </c>
      <c r="D39" t="s">
        <v>11</v>
      </c>
      <c r="E39" t="s">
        <v>13</v>
      </c>
      <c r="F39" t="s">
        <v>13</v>
      </c>
      <c r="G39">
        <v>285</v>
      </c>
      <c r="H39" t="s">
        <v>52</v>
      </c>
      <c r="I39">
        <v>4.5</v>
      </c>
      <c r="J39" t="str">
        <f t="shared" si="0"/>
        <v>₹200–299</v>
      </c>
    </row>
    <row r="40" spans="1:10" x14ac:dyDescent="0.3">
      <c r="A40">
        <v>39</v>
      </c>
      <c r="B40" t="s">
        <v>62</v>
      </c>
      <c r="C40" t="s">
        <v>63</v>
      </c>
      <c r="D40" t="s">
        <v>11</v>
      </c>
      <c r="E40" t="s">
        <v>18</v>
      </c>
      <c r="F40" t="s">
        <v>17</v>
      </c>
      <c r="G40">
        <v>345</v>
      </c>
      <c r="H40" t="s">
        <v>52</v>
      </c>
      <c r="I40">
        <v>4.5</v>
      </c>
      <c r="J40" t="str">
        <f t="shared" si="0"/>
        <v>₹300–399</v>
      </c>
    </row>
    <row r="41" spans="1:10" x14ac:dyDescent="0.3">
      <c r="A41">
        <v>40</v>
      </c>
      <c r="B41" t="s">
        <v>62</v>
      </c>
      <c r="C41" t="s">
        <v>63</v>
      </c>
      <c r="D41" t="s">
        <v>11</v>
      </c>
      <c r="E41" t="s">
        <v>12</v>
      </c>
      <c r="F41" t="s">
        <v>12</v>
      </c>
      <c r="G41">
        <v>235</v>
      </c>
      <c r="H41" t="s">
        <v>53</v>
      </c>
      <c r="I41">
        <v>4.5</v>
      </c>
      <c r="J41" t="str">
        <f t="shared" si="0"/>
        <v>₹200–299</v>
      </c>
    </row>
    <row r="42" spans="1:10" x14ac:dyDescent="0.3">
      <c r="A42">
        <v>41</v>
      </c>
      <c r="B42" t="s">
        <v>62</v>
      </c>
      <c r="C42" t="s">
        <v>63</v>
      </c>
      <c r="D42" t="s">
        <v>11</v>
      </c>
      <c r="E42" t="s">
        <v>20</v>
      </c>
      <c r="F42" t="s">
        <v>20</v>
      </c>
      <c r="G42">
        <v>345</v>
      </c>
      <c r="H42" t="s">
        <v>52</v>
      </c>
      <c r="I42">
        <v>4.5</v>
      </c>
      <c r="J42" t="str">
        <f t="shared" si="0"/>
        <v>₹300–399</v>
      </c>
    </row>
    <row r="43" spans="1:10" x14ac:dyDescent="0.3">
      <c r="A43">
        <v>42</v>
      </c>
      <c r="B43" t="s">
        <v>62</v>
      </c>
      <c r="C43" t="s">
        <v>63</v>
      </c>
      <c r="D43" t="s">
        <v>26</v>
      </c>
      <c r="E43" t="s">
        <v>65</v>
      </c>
      <c r="F43" t="s">
        <v>64</v>
      </c>
      <c r="G43">
        <v>875</v>
      </c>
      <c r="H43" t="s">
        <v>52</v>
      </c>
      <c r="I43">
        <v>4.5</v>
      </c>
      <c r="J43" t="str">
        <f t="shared" si="0"/>
        <v>₹500+</v>
      </c>
    </row>
    <row r="44" spans="1:10" x14ac:dyDescent="0.3">
      <c r="A44">
        <v>43</v>
      </c>
      <c r="B44" t="s">
        <v>62</v>
      </c>
      <c r="C44" t="s">
        <v>63</v>
      </c>
      <c r="D44" t="s">
        <v>26</v>
      </c>
      <c r="E44" t="s">
        <v>65</v>
      </c>
      <c r="F44" t="s">
        <v>66</v>
      </c>
      <c r="G44">
        <v>1425</v>
      </c>
      <c r="H44" t="s">
        <v>52</v>
      </c>
      <c r="I44">
        <v>4.5</v>
      </c>
      <c r="J44" t="str">
        <f t="shared" si="0"/>
        <v>₹500+</v>
      </c>
    </row>
    <row r="45" spans="1:10" x14ac:dyDescent="0.3">
      <c r="A45">
        <v>44</v>
      </c>
      <c r="B45" t="s">
        <v>62</v>
      </c>
      <c r="C45" t="s">
        <v>63</v>
      </c>
      <c r="D45" t="s">
        <v>26</v>
      </c>
      <c r="E45" t="s">
        <v>58</v>
      </c>
      <c r="F45" t="s">
        <v>67</v>
      </c>
      <c r="G45">
        <v>575</v>
      </c>
      <c r="H45" t="s">
        <v>53</v>
      </c>
      <c r="I45">
        <v>4.5</v>
      </c>
      <c r="J45" t="str">
        <f t="shared" si="0"/>
        <v>₹500+</v>
      </c>
    </row>
    <row r="46" spans="1:10" x14ac:dyDescent="0.3">
      <c r="A46">
        <v>45</v>
      </c>
      <c r="B46" t="s">
        <v>62</v>
      </c>
      <c r="C46" t="s">
        <v>63</v>
      </c>
      <c r="D46" t="s">
        <v>26</v>
      </c>
      <c r="E46" t="s">
        <v>87</v>
      </c>
      <c r="F46" t="s">
        <v>68</v>
      </c>
      <c r="G46">
        <v>395</v>
      </c>
      <c r="H46" t="s">
        <v>52</v>
      </c>
      <c r="I46">
        <v>4.5</v>
      </c>
      <c r="J46" t="str">
        <f t="shared" si="0"/>
        <v>₹300–399</v>
      </c>
    </row>
    <row r="47" spans="1:10" x14ac:dyDescent="0.3">
      <c r="A47">
        <v>46</v>
      </c>
      <c r="B47" t="s">
        <v>69</v>
      </c>
      <c r="C47" t="s">
        <v>70</v>
      </c>
      <c r="D47" t="s">
        <v>11</v>
      </c>
      <c r="E47" t="s">
        <v>14</v>
      </c>
      <c r="F47" t="s">
        <v>14</v>
      </c>
      <c r="G47">
        <v>280</v>
      </c>
      <c r="H47" t="s">
        <v>52</v>
      </c>
      <c r="I47">
        <v>4.3</v>
      </c>
      <c r="J47" t="str">
        <f t="shared" si="0"/>
        <v>₹200–299</v>
      </c>
    </row>
    <row r="48" spans="1:10" x14ac:dyDescent="0.3">
      <c r="A48">
        <v>47</v>
      </c>
      <c r="B48" t="s">
        <v>69</v>
      </c>
      <c r="C48" t="s">
        <v>49</v>
      </c>
      <c r="D48" t="s">
        <v>11</v>
      </c>
      <c r="E48" t="s">
        <v>18</v>
      </c>
      <c r="F48" t="s">
        <v>17</v>
      </c>
      <c r="G48">
        <v>315</v>
      </c>
      <c r="H48" t="s">
        <v>53</v>
      </c>
      <c r="I48">
        <v>4.3</v>
      </c>
      <c r="J48" t="str">
        <f t="shared" si="0"/>
        <v>₹300–399</v>
      </c>
    </row>
    <row r="49" spans="1:10" x14ac:dyDescent="0.3">
      <c r="A49">
        <v>48</v>
      </c>
      <c r="B49" t="s">
        <v>69</v>
      </c>
      <c r="C49" t="s">
        <v>76</v>
      </c>
      <c r="D49" t="s">
        <v>11</v>
      </c>
      <c r="E49" t="s">
        <v>13</v>
      </c>
      <c r="F49" t="s">
        <v>13</v>
      </c>
      <c r="G49">
        <v>265</v>
      </c>
      <c r="H49" t="s">
        <v>53</v>
      </c>
      <c r="I49">
        <v>4.3</v>
      </c>
      <c r="J49" t="str">
        <f t="shared" si="0"/>
        <v>₹200–299</v>
      </c>
    </row>
    <row r="50" spans="1:10" x14ac:dyDescent="0.3">
      <c r="A50">
        <v>49</v>
      </c>
      <c r="B50" t="s">
        <v>69</v>
      </c>
      <c r="C50" t="s">
        <v>77</v>
      </c>
      <c r="D50" t="s">
        <v>11</v>
      </c>
      <c r="E50" t="s">
        <v>19</v>
      </c>
      <c r="F50" t="s">
        <v>19</v>
      </c>
      <c r="G50">
        <v>285</v>
      </c>
      <c r="H50" t="s">
        <v>53</v>
      </c>
      <c r="I50">
        <v>4.3</v>
      </c>
      <c r="J50" t="str">
        <f t="shared" si="0"/>
        <v>₹200–299</v>
      </c>
    </row>
    <row r="51" spans="1:10" x14ac:dyDescent="0.3">
      <c r="A51">
        <v>50</v>
      </c>
      <c r="B51" t="s">
        <v>69</v>
      </c>
      <c r="C51" t="s">
        <v>78</v>
      </c>
      <c r="D51" t="s">
        <v>26</v>
      </c>
      <c r="E51" t="s">
        <v>58</v>
      </c>
      <c r="F51" t="s">
        <v>71</v>
      </c>
      <c r="G51">
        <v>450</v>
      </c>
      <c r="H51" t="s">
        <v>52</v>
      </c>
      <c r="I51">
        <v>4.3</v>
      </c>
      <c r="J51" t="str">
        <f t="shared" si="0"/>
        <v>₹400-499</v>
      </c>
    </row>
    <row r="52" spans="1:10" x14ac:dyDescent="0.3">
      <c r="A52">
        <v>51</v>
      </c>
      <c r="B52" t="s">
        <v>69</v>
      </c>
      <c r="C52" t="s">
        <v>79</v>
      </c>
      <c r="D52" t="s">
        <v>26</v>
      </c>
      <c r="E52" t="s">
        <v>72</v>
      </c>
      <c r="F52" t="s">
        <v>73</v>
      </c>
      <c r="G52">
        <v>695</v>
      </c>
      <c r="H52" t="s">
        <v>52</v>
      </c>
      <c r="I52">
        <v>4.3</v>
      </c>
      <c r="J52" t="str">
        <f t="shared" si="0"/>
        <v>₹500+</v>
      </c>
    </row>
    <row r="53" spans="1:10" x14ac:dyDescent="0.3">
      <c r="A53">
        <v>52</v>
      </c>
      <c r="B53" t="s">
        <v>69</v>
      </c>
      <c r="C53" t="s">
        <v>80</v>
      </c>
      <c r="D53" t="s">
        <v>26</v>
      </c>
      <c r="E53" t="s">
        <v>72</v>
      </c>
      <c r="F53" t="s">
        <v>74</v>
      </c>
      <c r="G53">
        <v>584</v>
      </c>
      <c r="H53" t="s">
        <v>52</v>
      </c>
      <c r="I53">
        <v>4.3</v>
      </c>
      <c r="J53" t="str">
        <f t="shared" si="0"/>
        <v>₹500+</v>
      </c>
    </row>
    <row r="54" spans="1:10" x14ac:dyDescent="0.3">
      <c r="A54">
        <v>53</v>
      </c>
      <c r="B54" t="s">
        <v>69</v>
      </c>
      <c r="C54" t="s">
        <v>81</v>
      </c>
      <c r="D54" t="s">
        <v>26</v>
      </c>
      <c r="E54" t="s">
        <v>72</v>
      </c>
      <c r="F54" t="s">
        <v>75</v>
      </c>
      <c r="G54">
        <v>625</v>
      </c>
      <c r="H54" t="s">
        <v>53</v>
      </c>
      <c r="I54">
        <v>4.3</v>
      </c>
      <c r="J54" t="str">
        <f t="shared" si="0"/>
        <v>₹500+</v>
      </c>
    </row>
    <row r="55" spans="1:10" x14ac:dyDescent="0.3">
      <c r="A55">
        <v>54</v>
      </c>
      <c r="B55" t="s">
        <v>69</v>
      </c>
      <c r="C55" t="s">
        <v>82</v>
      </c>
      <c r="D55" t="s">
        <v>11</v>
      </c>
      <c r="E55" t="s">
        <v>20</v>
      </c>
      <c r="F55" t="s">
        <v>20</v>
      </c>
      <c r="G55">
        <v>335</v>
      </c>
      <c r="H55" t="s">
        <v>52</v>
      </c>
      <c r="I55">
        <v>4.3</v>
      </c>
      <c r="J55" t="str">
        <f t="shared" si="0"/>
        <v>₹300–399</v>
      </c>
    </row>
    <row r="56" spans="1:10" x14ac:dyDescent="0.3">
      <c r="A56">
        <v>55</v>
      </c>
      <c r="B56" t="s">
        <v>83</v>
      </c>
      <c r="C56" t="s">
        <v>84</v>
      </c>
      <c r="D56" t="s">
        <v>11</v>
      </c>
      <c r="E56" t="s">
        <v>14</v>
      </c>
      <c r="F56" t="s">
        <v>14</v>
      </c>
      <c r="G56">
        <v>275</v>
      </c>
      <c r="H56" t="s">
        <v>52</v>
      </c>
      <c r="I56">
        <v>4.3</v>
      </c>
      <c r="J56" t="str">
        <f t="shared" si="0"/>
        <v>₹200–299</v>
      </c>
    </row>
    <row r="57" spans="1:10" x14ac:dyDescent="0.3">
      <c r="A57">
        <v>56</v>
      </c>
      <c r="B57" t="s">
        <v>83</v>
      </c>
      <c r="C57" t="s">
        <v>84</v>
      </c>
      <c r="D57" t="s">
        <v>11</v>
      </c>
      <c r="E57" t="s">
        <v>19</v>
      </c>
      <c r="F57" t="s">
        <v>19</v>
      </c>
      <c r="G57">
        <v>309</v>
      </c>
      <c r="H57" t="s">
        <v>52</v>
      </c>
      <c r="I57">
        <v>4.3</v>
      </c>
      <c r="J57" t="str">
        <f t="shared" si="0"/>
        <v>₹300–399</v>
      </c>
    </row>
    <row r="58" spans="1:10" x14ac:dyDescent="0.3">
      <c r="A58">
        <v>57</v>
      </c>
      <c r="B58" t="s">
        <v>83</v>
      </c>
      <c r="C58" t="s">
        <v>84</v>
      </c>
      <c r="D58" t="s">
        <v>11</v>
      </c>
      <c r="E58" t="s">
        <v>13</v>
      </c>
      <c r="F58" t="s">
        <v>13</v>
      </c>
      <c r="G58">
        <v>289</v>
      </c>
      <c r="H58" t="s">
        <v>52</v>
      </c>
      <c r="I58">
        <v>4.3</v>
      </c>
      <c r="J58" t="str">
        <f t="shared" si="0"/>
        <v>₹200–299</v>
      </c>
    </row>
    <row r="59" spans="1:10" x14ac:dyDescent="0.3">
      <c r="A59">
        <v>58</v>
      </c>
      <c r="B59" t="s">
        <v>83</v>
      </c>
      <c r="C59" t="s">
        <v>84</v>
      </c>
      <c r="D59" t="s">
        <v>11</v>
      </c>
      <c r="E59" t="s">
        <v>19</v>
      </c>
      <c r="F59" t="s">
        <v>19</v>
      </c>
      <c r="G59">
        <v>378</v>
      </c>
      <c r="H59" t="s">
        <v>52</v>
      </c>
      <c r="I59">
        <v>4.3</v>
      </c>
      <c r="J59" t="str">
        <f t="shared" si="0"/>
        <v>₹300–399</v>
      </c>
    </row>
    <row r="60" spans="1:10" x14ac:dyDescent="0.3">
      <c r="A60">
        <v>59</v>
      </c>
      <c r="B60" t="s">
        <v>83</v>
      </c>
      <c r="C60" t="s">
        <v>84</v>
      </c>
      <c r="D60" t="s">
        <v>11</v>
      </c>
      <c r="E60" t="s">
        <v>18</v>
      </c>
      <c r="F60" t="s">
        <v>18</v>
      </c>
      <c r="G60">
        <v>378</v>
      </c>
      <c r="H60" t="s">
        <v>53</v>
      </c>
      <c r="I60">
        <v>4.3</v>
      </c>
      <c r="J60" t="str">
        <f t="shared" si="0"/>
        <v>₹300–399</v>
      </c>
    </row>
    <row r="61" spans="1:10" x14ac:dyDescent="0.3">
      <c r="A61">
        <v>60</v>
      </c>
      <c r="B61" t="s">
        <v>83</v>
      </c>
      <c r="C61" t="s">
        <v>84</v>
      </c>
      <c r="D61" t="s">
        <v>11</v>
      </c>
      <c r="E61" t="s">
        <v>15</v>
      </c>
      <c r="F61" t="s">
        <v>15</v>
      </c>
      <c r="G61">
        <v>378</v>
      </c>
      <c r="H61" t="s">
        <v>52</v>
      </c>
      <c r="I61">
        <v>4.3</v>
      </c>
      <c r="J61" t="str">
        <f t="shared" si="0"/>
        <v>₹300–399</v>
      </c>
    </row>
    <row r="62" spans="1:10" x14ac:dyDescent="0.3">
      <c r="A62">
        <v>61</v>
      </c>
      <c r="B62" t="s">
        <v>83</v>
      </c>
      <c r="C62" t="s">
        <v>84</v>
      </c>
      <c r="D62" t="s">
        <v>11</v>
      </c>
      <c r="E62" t="s">
        <v>23</v>
      </c>
      <c r="F62" t="s">
        <v>54</v>
      </c>
      <c r="G62">
        <v>385</v>
      </c>
      <c r="H62" t="s">
        <v>53</v>
      </c>
      <c r="I62">
        <v>4.3</v>
      </c>
      <c r="J62" t="str">
        <f t="shared" si="0"/>
        <v>₹300–399</v>
      </c>
    </row>
    <row r="63" spans="1:10" x14ac:dyDescent="0.3">
      <c r="A63">
        <v>62</v>
      </c>
      <c r="B63" t="s">
        <v>83</v>
      </c>
      <c r="C63" t="s">
        <v>84</v>
      </c>
      <c r="D63" t="s">
        <v>11</v>
      </c>
      <c r="E63" t="s">
        <v>20</v>
      </c>
      <c r="F63" t="s">
        <v>85</v>
      </c>
      <c r="G63">
        <v>309</v>
      </c>
      <c r="H63" t="s">
        <v>53</v>
      </c>
      <c r="I63">
        <v>4.3</v>
      </c>
      <c r="J63" t="str">
        <f t="shared" si="0"/>
        <v>₹300–399</v>
      </c>
    </row>
    <row r="64" spans="1:10" x14ac:dyDescent="0.3">
      <c r="A64">
        <v>63</v>
      </c>
      <c r="B64" t="s">
        <v>83</v>
      </c>
      <c r="C64" t="s">
        <v>84</v>
      </c>
      <c r="D64" t="s">
        <v>11</v>
      </c>
      <c r="E64" t="s">
        <v>20</v>
      </c>
      <c r="F64" t="s">
        <v>86</v>
      </c>
      <c r="G64">
        <v>278</v>
      </c>
      <c r="H64" t="s">
        <v>53</v>
      </c>
      <c r="I64">
        <v>4.3</v>
      </c>
      <c r="J64" t="str">
        <f t="shared" si="0"/>
        <v>₹200–299</v>
      </c>
    </row>
    <row r="65" spans="1:10" x14ac:dyDescent="0.3">
      <c r="A65">
        <v>64</v>
      </c>
      <c r="B65" t="s">
        <v>83</v>
      </c>
      <c r="C65" t="s">
        <v>84</v>
      </c>
      <c r="D65" t="s">
        <v>26</v>
      </c>
      <c r="E65" t="s">
        <v>87</v>
      </c>
      <c r="F65" t="s">
        <v>88</v>
      </c>
      <c r="G65">
        <v>278</v>
      </c>
      <c r="H65" t="s">
        <v>53</v>
      </c>
      <c r="I65">
        <v>4.3</v>
      </c>
      <c r="J65" t="str">
        <f t="shared" si="0"/>
        <v>₹200–299</v>
      </c>
    </row>
    <row r="66" spans="1:10" x14ac:dyDescent="0.3">
      <c r="A66">
        <v>65</v>
      </c>
      <c r="B66" t="s">
        <v>83</v>
      </c>
      <c r="C66" t="s">
        <v>84</v>
      </c>
      <c r="D66" t="s">
        <v>26</v>
      </c>
      <c r="E66" t="s">
        <v>87</v>
      </c>
      <c r="F66" t="s">
        <v>27</v>
      </c>
      <c r="G66">
        <v>240</v>
      </c>
      <c r="H66" t="s">
        <v>53</v>
      </c>
      <c r="I66">
        <v>4.3</v>
      </c>
      <c r="J66" t="str">
        <f t="shared" si="0"/>
        <v>₹200–299</v>
      </c>
    </row>
    <row r="67" spans="1:10" x14ac:dyDescent="0.3">
      <c r="A67">
        <v>66</v>
      </c>
      <c r="B67" t="s">
        <v>83</v>
      </c>
      <c r="C67" t="s">
        <v>84</v>
      </c>
      <c r="D67" t="s">
        <v>26</v>
      </c>
      <c r="E67" t="s">
        <v>89</v>
      </c>
      <c r="F67" t="s">
        <v>90</v>
      </c>
      <c r="G67">
        <v>208</v>
      </c>
      <c r="H67" t="s">
        <v>53</v>
      </c>
      <c r="I67">
        <v>4.3</v>
      </c>
      <c r="J67" t="str">
        <f t="shared" ref="J67:J130" si="1">IF(G67&lt;=199,"₹99–199",
IF(G67&lt;=299,"₹200–299",
IF(G67&lt;=399,"₹300–399",IF(G67&lt;=499,"₹400-499","₹500+"))))</f>
        <v>₹200–299</v>
      </c>
    </row>
    <row r="68" spans="1:10" x14ac:dyDescent="0.3">
      <c r="A68">
        <v>67</v>
      </c>
      <c r="B68" t="s">
        <v>83</v>
      </c>
      <c r="C68" t="s">
        <v>84</v>
      </c>
      <c r="D68" t="s">
        <v>26</v>
      </c>
      <c r="E68" t="s">
        <v>72</v>
      </c>
      <c r="F68" t="s">
        <v>91</v>
      </c>
      <c r="G68">
        <v>549</v>
      </c>
      <c r="H68" t="s">
        <v>53</v>
      </c>
      <c r="I68">
        <v>4.3</v>
      </c>
      <c r="J68" t="str">
        <f t="shared" si="1"/>
        <v>₹500+</v>
      </c>
    </row>
    <row r="69" spans="1:10" x14ac:dyDescent="0.3">
      <c r="A69">
        <v>68</v>
      </c>
      <c r="B69" t="s">
        <v>83</v>
      </c>
      <c r="C69" t="s">
        <v>84</v>
      </c>
      <c r="D69" t="s">
        <v>26</v>
      </c>
      <c r="E69" t="s">
        <v>72</v>
      </c>
      <c r="F69" t="s">
        <v>92</v>
      </c>
      <c r="G69">
        <v>609</v>
      </c>
      <c r="H69" t="s">
        <v>52</v>
      </c>
      <c r="I69">
        <v>4.3</v>
      </c>
      <c r="J69" t="str">
        <f t="shared" si="1"/>
        <v>₹500+</v>
      </c>
    </row>
    <row r="70" spans="1:10" x14ac:dyDescent="0.3">
      <c r="A70">
        <v>69</v>
      </c>
      <c r="B70" t="s">
        <v>83</v>
      </c>
      <c r="C70" t="s">
        <v>84</v>
      </c>
      <c r="D70" t="s">
        <v>26</v>
      </c>
      <c r="E70" t="s">
        <v>72</v>
      </c>
      <c r="F70" t="s">
        <v>74</v>
      </c>
      <c r="G70">
        <v>470</v>
      </c>
      <c r="H70" t="s">
        <v>52</v>
      </c>
      <c r="I70">
        <v>4.3</v>
      </c>
      <c r="J70" t="str">
        <f t="shared" si="1"/>
        <v>₹400-499</v>
      </c>
    </row>
    <row r="71" spans="1:10" x14ac:dyDescent="0.3">
      <c r="A71">
        <v>70</v>
      </c>
      <c r="B71" t="s">
        <v>83</v>
      </c>
      <c r="C71" t="s">
        <v>84</v>
      </c>
      <c r="D71" t="s">
        <v>26</v>
      </c>
      <c r="E71" t="s">
        <v>58</v>
      </c>
      <c r="F71" t="s">
        <v>93</v>
      </c>
      <c r="G71">
        <v>418</v>
      </c>
      <c r="H71" t="s">
        <v>52</v>
      </c>
      <c r="I71">
        <v>4.3</v>
      </c>
      <c r="J71" t="str">
        <f t="shared" si="1"/>
        <v>₹400-499</v>
      </c>
    </row>
    <row r="72" spans="1:10" x14ac:dyDescent="0.3">
      <c r="A72">
        <v>71</v>
      </c>
      <c r="B72" t="s">
        <v>83</v>
      </c>
      <c r="C72" t="s">
        <v>84</v>
      </c>
      <c r="D72" t="s">
        <v>26</v>
      </c>
      <c r="E72" t="s">
        <v>58</v>
      </c>
      <c r="F72" t="s">
        <v>94</v>
      </c>
      <c r="G72">
        <v>418</v>
      </c>
      <c r="H72" t="s">
        <v>53</v>
      </c>
      <c r="I72">
        <v>4.3</v>
      </c>
      <c r="J72" t="str">
        <f t="shared" si="1"/>
        <v>₹400-499</v>
      </c>
    </row>
    <row r="73" spans="1:10" x14ac:dyDescent="0.3">
      <c r="A73">
        <v>72</v>
      </c>
      <c r="B73" t="s">
        <v>83</v>
      </c>
      <c r="C73" t="s">
        <v>84</v>
      </c>
      <c r="D73" t="s">
        <v>26</v>
      </c>
      <c r="E73" t="s">
        <v>89</v>
      </c>
      <c r="F73" t="s">
        <v>95</v>
      </c>
      <c r="G73">
        <v>362</v>
      </c>
      <c r="H73" t="s">
        <v>53</v>
      </c>
      <c r="I73">
        <v>4.3</v>
      </c>
      <c r="J73" t="str">
        <f t="shared" si="1"/>
        <v>₹300–399</v>
      </c>
    </row>
    <row r="74" spans="1:10" x14ac:dyDescent="0.3">
      <c r="A74">
        <v>73</v>
      </c>
      <c r="B74" t="s">
        <v>96</v>
      </c>
      <c r="C74" t="s">
        <v>97</v>
      </c>
      <c r="D74" t="s">
        <v>11</v>
      </c>
      <c r="E74" t="s">
        <v>14</v>
      </c>
      <c r="F74" t="s">
        <v>14</v>
      </c>
      <c r="G74">
        <v>210</v>
      </c>
      <c r="H74" t="s">
        <v>52</v>
      </c>
      <c r="I74">
        <v>4.3</v>
      </c>
      <c r="J74" t="str">
        <f t="shared" si="1"/>
        <v>₹200–299</v>
      </c>
    </row>
    <row r="75" spans="1:10" x14ac:dyDescent="0.3">
      <c r="A75">
        <v>74</v>
      </c>
      <c r="B75" t="s">
        <v>96</v>
      </c>
      <c r="C75" t="s">
        <v>97</v>
      </c>
      <c r="D75" t="s">
        <v>11</v>
      </c>
      <c r="E75" t="s">
        <v>14</v>
      </c>
      <c r="F75" t="s">
        <v>98</v>
      </c>
      <c r="G75">
        <v>250</v>
      </c>
      <c r="H75" t="s">
        <v>52</v>
      </c>
      <c r="I75">
        <v>4.3</v>
      </c>
      <c r="J75" t="str">
        <f t="shared" si="1"/>
        <v>₹200–299</v>
      </c>
    </row>
    <row r="76" spans="1:10" x14ac:dyDescent="0.3">
      <c r="A76">
        <v>75</v>
      </c>
      <c r="B76" t="s">
        <v>96</v>
      </c>
      <c r="C76" t="s">
        <v>97</v>
      </c>
      <c r="D76" t="s">
        <v>11</v>
      </c>
      <c r="E76" t="s">
        <v>18</v>
      </c>
      <c r="F76" t="s">
        <v>18</v>
      </c>
      <c r="G76">
        <v>250</v>
      </c>
      <c r="H76" t="s">
        <v>52</v>
      </c>
      <c r="I76">
        <v>4.3</v>
      </c>
      <c r="J76" t="str">
        <f t="shared" si="1"/>
        <v>₹200–299</v>
      </c>
    </row>
    <row r="77" spans="1:10" x14ac:dyDescent="0.3">
      <c r="A77">
        <v>76</v>
      </c>
      <c r="B77" t="s">
        <v>96</v>
      </c>
      <c r="C77" t="s">
        <v>97</v>
      </c>
      <c r="D77" t="s">
        <v>11</v>
      </c>
      <c r="E77" t="s">
        <v>13</v>
      </c>
      <c r="F77" t="s">
        <v>13</v>
      </c>
      <c r="G77">
        <v>185</v>
      </c>
      <c r="H77" t="s">
        <v>52</v>
      </c>
      <c r="I77">
        <v>4.3</v>
      </c>
      <c r="J77" t="str">
        <f t="shared" si="1"/>
        <v>₹99–199</v>
      </c>
    </row>
    <row r="78" spans="1:10" x14ac:dyDescent="0.3">
      <c r="A78">
        <v>77</v>
      </c>
      <c r="B78" t="s">
        <v>96</v>
      </c>
      <c r="C78" t="s">
        <v>97</v>
      </c>
      <c r="D78" t="s">
        <v>11</v>
      </c>
      <c r="E78" t="s">
        <v>19</v>
      </c>
      <c r="F78" t="s">
        <v>19</v>
      </c>
      <c r="G78">
        <v>210</v>
      </c>
      <c r="H78" t="s">
        <v>53</v>
      </c>
      <c r="I78">
        <v>4.3</v>
      </c>
      <c r="J78" t="str">
        <f t="shared" si="1"/>
        <v>₹200–299</v>
      </c>
    </row>
    <row r="79" spans="1:10" x14ac:dyDescent="0.3">
      <c r="A79">
        <v>78</v>
      </c>
      <c r="B79" t="s">
        <v>96</v>
      </c>
      <c r="C79" t="s">
        <v>97</v>
      </c>
      <c r="D79" t="s">
        <v>11</v>
      </c>
      <c r="E79" t="s">
        <v>12</v>
      </c>
      <c r="F79" t="s">
        <v>12</v>
      </c>
      <c r="G79">
        <v>165</v>
      </c>
      <c r="H79" t="s">
        <v>53</v>
      </c>
      <c r="I79">
        <v>4.3</v>
      </c>
      <c r="J79" t="str">
        <f t="shared" si="1"/>
        <v>₹99–199</v>
      </c>
    </row>
    <row r="80" spans="1:10" x14ac:dyDescent="0.3">
      <c r="A80">
        <v>79</v>
      </c>
      <c r="B80" t="s">
        <v>96</v>
      </c>
      <c r="C80" t="s">
        <v>97</v>
      </c>
      <c r="D80" t="s">
        <v>11</v>
      </c>
      <c r="E80" t="s">
        <v>13</v>
      </c>
      <c r="F80" t="s">
        <v>99</v>
      </c>
      <c r="G80">
        <v>250</v>
      </c>
      <c r="H80" t="s">
        <v>53</v>
      </c>
      <c r="I80">
        <v>4.3</v>
      </c>
      <c r="J80" t="str">
        <f t="shared" si="1"/>
        <v>₹200–299</v>
      </c>
    </row>
    <row r="81" spans="1:10" x14ac:dyDescent="0.3">
      <c r="A81">
        <v>80</v>
      </c>
      <c r="B81" t="s">
        <v>96</v>
      </c>
      <c r="C81" t="s">
        <v>97</v>
      </c>
      <c r="D81" t="s">
        <v>26</v>
      </c>
      <c r="E81" t="s">
        <v>87</v>
      </c>
      <c r="F81" t="s">
        <v>100</v>
      </c>
      <c r="G81">
        <v>260</v>
      </c>
      <c r="H81" t="s">
        <v>53</v>
      </c>
      <c r="I81">
        <v>4.3</v>
      </c>
      <c r="J81" t="str">
        <f t="shared" si="1"/>
        <v>₹200–299</v>
      </c>
    </row>
    <row r="82" spans="1:10" x14ac:dyDescent="0.3">
      <c r="A82">
        <v>81</v>
      </c>
      <c r="B82" t="s">
        <v>96</v>
      </c>
      <c r="C82" t="s">
        <v>97</v>
      </c>
      <c r="D82" t="s">
        <v>26</v>
      </c>
      <c r="E82" t="s">
        <v>58</v>
      </c>
      <c r="F82" t="s">
        <v>101</v>
      </c>
      <c r="G82">
        <v>390</v>
      </c>
      <c r="H82" t="s">
        <v>52</v>
      </c>
      <c r="I82">
        <v>4.3</v>
      </c>
      <c r="J82" t="str">
        <f t="shared" si="1"/>
        <v>₹300–399</v>
      </c>
    </row>
    <row r="83" spans="1:10" x14ac:dyDescent="0.3">
      <c r="A83">
        <v>82</v>
      </c>
      <c r="B83" t="s">
        <v>96</v>
      </c>
      <c r="C83" t="s">
        <v>97</v>
      </c>
      <c r="D83" t="s">
        <v>26</v>
      </c>
      <c r="E83" t="s">
        <v>58</v>
      </c>
      <c r="F83" t="s">
        <v>102</v>
      </c>
      <c r="G83">
        <v>440</v>
      </c>
      <c r="H83" t="s">
        <v>53</v>
      </c>
      <c r="I83">
        <v>4.3</v>
      </c>
      <c r="J83" t="str">
        <f t="shared" si="1"/>
        <v>₹400-499</v>
      </c>
    </row>
    <row r="84" spans="1:10" x14ac:dyDescent="0.3">
      <c r="A84">
        <v>83</v>
      </c>
      <c r="B84" t="s">
        <v>96</v>
      </c>
      <c r="C84" t="s">
        <v>97</v>
      </c>
      <c r="D84" t="s">
        <v>26</v>
      </c>
      <c r="E84" t="s">
        <v>72</v>
      </c>
      <c r="F84" t="s">
        <v>74</v>
      </c>
      <c r="G84">
        <v>430</v>
      </c>
      <c r="I84">
        <v>4.3</v>
      </c>
      <c r="J84" t="str">
        <f t="shared" si="1"/>
        <v>₹400-499</v>
      </c>
    </row>
    <row r="85" spans="1:10" x14ac:dyDescent="0.3">
      <c r="A85">
        <v>84</v>
      </c>
      <c r="B85" t="s">
        <v>96</v>
      </c>
      <c r="C85" t="s">
        <v>97</v>
      </c>
      <c r="D85" t="s">
        <v>11</v>
      </c>
      <c r="E85" t="s">
        <v>20</v>
      </c>
      <c r="F85" t="s">
        <v>59</v>
      </c>
      <c r="G85">
        <v>210</v>
      </c>
      <c r="H85" t="s">
        <v>53</v>
      </c>
      <c r="I85">
        <v>4.3</v>
      </c>
      <c r="J85" t="str">
        <f t="shared" si="1"/>
        <v>₹200–299</v>
      </c>
    </row>
    <row r="86" spans="1:10" x14ac:dyDescent="0.3">
      <c r="A86">
        <v>85</v>
      </c>
      <c r="B86" t="s">
        <v>96</v>
      </c>
      <c r="C86" t="s">
        <v>97</v>
      </c>
      <c r="D86" t="s">
        <v>11</v>
      </c>
      <c r="E86" t="s">
        <v>20</v>
      </c>
      <c r="F86" t="s">
        <v>103</v>
      </c>
      <c r="G86">
        <v>185</v>
      </c>
      <c r="H86" t="s">
        <v>53</v>
      </c>
      <c r="I86">
        <v>4.3</v>
      </c>
      <c r="J86" t="str">
        <f t="shared" si="1"/>
        <v>₹99–199</v>
      </c>
    </row>
    <row r="87" spans="1:10" x14ac:dyDescent="0.3">
      <c r="A87">
        <v>86</v>
      </c>
      <c r="B87" t="s">
        <v>96</v>
      </c>
      <c r="C87" t="s">
        <v>97</v>
      </c>
      <c r="D87" t="s">
        <v>11</v>
      </c>
      <c r="E87" t="s">
        <v>18</v>
      </c>
      <c r="F87" t="s">
        <v>104</v>
      </c>
      <c r="G87">
        <v>320</v>
      </c>
      <c r="H87" t="s">
        <v>53</v>
      </c>
      <c r="I87">
        <v>4.3</v>
      </c>
      <c r="J87" t="str">
        <f t="shared" si="1"/>
        <v>₹300–399</v>
      </c>
    </row>
    <row r="88" spans="1:10" x14ac:dyDescent="0.3">
      <c r="A88">
        <v>87</v>
      </c>
      <c r="B88" t="s">
        <v>96</v>
      </c>
      <c r="C88" t="s">
        <v>97</v>
      </c>
      <c r="D88" t="s">
        <v>11</v>
      </c>
      <c r="E88" t="s">
        <v>15</v>
      </c>
      <c r="F88" t="s">
        <v>15</v>
      </c>
      <c r="G88">
        <v>260</v>
      </c>
      <c r="H88" t="s">
        <v>53</v>
      </c>
      <c r="I88">
        <v>4.3</v>
      </c>
      <c r="J88" t="str">
        <f t="shared" si="1"/>
        <v>₹200–299</v>
      </c>
    </row>
    <row r="89" spans="1:10" x14ac:dyDescent="0.3">
      <c r="A89">
        <v>88</v>
      </c>
      <c r="B89" t="s">
        <v>105</v>
      </c>
      <c r="C89" t="s">
        <v>106</v>
      </c>
      <c r="D89" t="s">
        <v>11</v>
      </c>
      <c r="E89" t="s">
        <v>19</v>
      </c>
      <c r="F89" t="s">
        <v>107</v>
      </c>
      <c r="G89">
        <v>137</v>
      </c>
      <c r="H89" t="s">
        <v>52</v>
      </c>
      <c r="I89">
        <v>4.2</v>
      </c>
      <c r="J89" t="str">
        <f t="shared" si="1"/>
        <v>₹99–199</v>
      </c>
    </row>
    <row r="90" spans="1:10" x14ac:dyDescent="0.3">
      <c r="A90">
        <v>89</v>
      </c>
      <c r="B90" t="s">
        <v>105</v>
      </c>
      <c r="C90" t="s">
        <v>109</v>
      </c>
      <c r="D90" t="s">
        <v>11</v>
      </c>
      <c r="E90" t="s">
        <v>19</v>
      </c>
      <c r="F90" t="s">
        <v>108</v>
      </c>
      <c r="G90">
        <v>137</v>
      </c>
      <c r="H90" t="s">
        <v>52</v>
      </c>
      <c r="I90">
        <v>4.2</v>
      </c>
      <c r="J90" t="str">
        <f t="shared" si="1"/>
        <v>₹99–199</v>
      </c>
    </row>
    <row r="91" spans="1:10" x14ac:dyDescent="0.3">
      <c r="A91">
        <v>90</v>
      </c>
      <c r="B91" t="s">
        <v>105</v>
      </c>
      <c r="C91" t="s">
        <v>110</v>
      </c>
      <c r="D91" t="s">
        <v>11</v>
      </c>
      <c r="E91" t="s">
        <v>19</v>
      </c>
      <c r="F91" t="s">
        <v>16</v>
      </c>
      <c r="G91">
        <v>240</v>
      </c>
      <c r="H91" t="s">
        <v>52</v>
      </c>
      <c r="I91">
        <v>4.2</v>
      </c>
      <c r="J91" t="str">
        <f t="shared" si="1"/>
        <v>₹200–299</v>
      </c>
    </row>
    <row r="92" spans="1:10" x14ac:dyDescent="0.3">
      <c r="A92">
        <v>91</v>
      </c>
      <c r="B92" t="s">
        <v>105</v>
      </c>
      <c r="C92" t="s">
        <v>111</v>
      </c>
      <c r="D92" t="s">
        <v>11</v>
      </c>
      <c r="E92" t="s">
        <v>14</v>
      </c>
      <c r="F92" t="s">
        <v>14</v>
      </c>
      <c r="G92">
        <v>270</v>
      </c>
      <c r="H92" t="s">
        <v>52</v>
      </c>
      <c r="I92">
        <v>4.2</v>
      </c>
      <c r="J92" t="str">
        <f t="shared" si="1"/>
        <v>₹200–299</v>
      </c>
    </row>
    <row r="93" spans="1:10" x14ac:dyDescent="0.3">
      <c r="A93">
        <v>92</v>
      </c>
      <c r="B93" t="s">
        <v>105</v>
      </c>
      <c r="C93" t="s">
        <v>112</v>
      </c>
      <c r="D93" t="s">
        <v>11</v>
      </c>
      <c r="E93" t="s">
        <v>13</v>
      </c>
      <c r="F93" t="s">
        <v>13</v>
      </c>
      <c r="G93">
        <v>220</v>
      </c>
      <c r="H93" t="s">
        <v>52</v>
      </c>
      <c r="I93">
        <v>4.2</v>
      </c>
      <c r="J93" t="str">
        <f t="shared" si="1"/>
        <v>₹200–299</v>
      </c>
    </row>
    <row r="94" spans="1:10" x14ac:dyDescent="0.3">
      <c r="A94">
        <v>93</v>
      </c>
      <c r="B94" t="s">
        <v>105</v>
      </c>
      <c r="C94" t="s">
        <v>113</v>
      </c>
      <c r="D94" t="s">
        <v>11</v>
      </c>
      <c r="E94" t="s">
        <v>18</v>
      </c>
      <c r="F94" t="s">
        <v>18</v>
      </c>
      <c r="G94">
        <v>275</v>
      </c>
      <c r="H94" t="s">
        <v>52</v>
      </c>
      <c r="I94">
        <v>4.2</v>
      </c>
      <c r="J94" t="str">
        <f t="shared" si="1"/>
        <v>₹200–299</v>
      </c>
    </row>
    <row r="95" spans="1:10" x14ac:dyDescent="0.3">
      <c r="A95">
        <v>94</v>
      </c>
      <c r="B95" t="s">
        <v>105</v>
      </c>
      <c r="C95" t="s">
        <v>117</v>
      </c>
      <c r="D95" t="s">
        <v>26</v>
      </c>
      <c r="E95" t="s">
        <v>114</v>
      </c>
      <c r="F95" t="s">
        <v>115</v>
      </c>
      <c r="G95">
        <v>350</v>
      </c>
      <c r="H95" t="s">
        <v>52</v>
      </c>
      <c r="I95">
        <v>4.2</v>
      </c>
      <c r="J95" t="str">
        <f t="shared" si="1"/>
        <v>₹300–399</v>
      </c>
    </row>
    <row r="96" spans="1:10" x14ac:dyDescent="0.3">
      <c r="A96">
        <v>95</v>
      </c>
      <c r="B96" t="s">
        <v>105</v>
      </c>
      <c r="C96" t="s">
        <v>118</v>
      </c>
      <c r="D96" t="s">
        <v>26</v>
      </c>
      <c r="E96" t="s">
        <v>87</v>
      </c>
      <c r="F96" t="s">
        <v>87</v>
      </c>
      <c r="G96">
        <v>280</v>
      </c>
      <c r="H96" t="s">
        <v>53</v>
      </c>
      <c r="I96">
        <v>4.2</v>
      </c>
      <c r="J96" t="str">
        <f t="shared" si="1"/>
        <v>₹200–299</v>
      </c>
    </row>
    <row r="97" spans="1:10" x14ac:dyDescent="0.3">
      <c r="A97">
        <v>96</v>
      </c>
      <c r="B97" t="s">
        <v>105</v>
      </c>
      <c r="C97" t="s">
        <v>119</v>
      </c>
      <c r="D97" t="s">
        <v>26</v>
      </c>
      <c r="E97" t="s">
        <v>114</v>
      </c>
      <c r="F97" t="s">
        <v>116</v>
      </c>
      <c r="G97">
        <v>375</v>
      </c>
      <c r="H97" t="s">
        <v>52</v>
      </c>
      <c r="I97">
        <v>4.2</v>
      </c>
      <c r="J97" t="str">
        <f t="shared" si="1"/>
        <v>₹300–399</v>
      </c>
    </row>
    <row r="98" spans="1:10" x14ac:dyDescent="0.3">
      <c r="A98">
        <v>97</v>
      </c>
      <c r="B98" t="s">
        <v>120</v>
      </c>
      <c r="C98" t="s">
        <v>121</v>
      </c>
      <c r="D98" t="s">
        <v>11</v>
      </c>
      <c r="E98" t="s">
        <v>14</v>
      </c>
      <c r="F98" t="s">
        <v>14</v>
      </c>
      <c r="G98">
        <v>182</v>
      </c>
      <c r="H98" t="s">
        <v>52</v>
      </c>
      <c r="I98">
        <v>4.2</v>
      </c>
      <c r="J98" t="str">
        <f t="shared" si="1"/>
        <v>₹99–199</v>
      </c>
    </row>
    <row r="99" spans="1:10" x14ac:dyDescent="0.3">
      <c r="A99">
        <v>98</v>
      </c>
      <c r="B99" t="s">
        <v>120</v>
      </c>
      <c r="C99" t="s">
        <v>121</v>
      </c>
      <c r="D99" t="s">
        <v>11</v>
      </c>
      <c r="E99" t="s">
        <v>12</v>
      </c>
      <c r="F99" t="s">
        <v>12</v>
      </c>
      <c r="G99">
        <v>350</v>
      </c>
      <c r="H99" t="s">
        <v>52</v>
      </c>
      <c r="I99">
        <v>4.2</v>
      </c>
      <c r="J99" t="str">
        <f t="shared" si="1"/>
        <v>₹300–399</v>
      </c>
    </row>
    <row r="100" spans="1:10" x14ac:dyDescent="0.3">
      <c r="A100">
        <v>99</v>
      </c>
      <c r="B100" t="s">
        <v>120</v>
      </c>
      <c r="C100" t="s">
        <v>121</v>
      </c>
      <c r="D100" t="s">
        <v>11</v>
      </c>
      <c r="E100" t="s">
        <v>19</v>
      </c>
      <c r="F100" t="s">
        <v>19</v>
      </c>
      <c r="G100">
        <v>185</v>
      </c>
      <c r="H100" t="s">
        <v>53</v>
      </c>
      <c r="I100">
        <v>4.2</v>
      </c>
      <c r="J100" t="str">
        <f t="shared" si="1"/>
        <v>₹99–199</v>
      </c>
    </row>
    <row r="101" spans="1:10" x14ac:dyDescent="0.3">
      <c r="A101">
        <v>100</v>
      </c>
      <c r="B101" t="s">
        <v>120</v>
      </c>
      <c r="C101" t="s">
        <v>121</v>
      </c>
      <c r="D101" t="s">
        <v>11</v>
      </c>
      <c r="E101" t="s">
        <v>13</v>
      </c>
      <c r="F101" t="s">
        <v>13</v>
      </c>
      <c r="G101">
        <v>168</v>
      </c>
      <c r="H101" t="s">
        <v>52</v>
      </c>
      <c r="I101">
        <v>4.2</v>
      </c>
      <c r="J101" t="str">
        <f t="shared" si="1"/>
        <v>₹99–199</v>
      </c>
    </row>
    <row r="102" spans="1:10" x14ac:dyDescent="0.3">
      <c r="A102">
        <v>101</v>
      </c>
      <c r="B102" t="s">
        <v>120</v>
      </c>
      <c r="C102" t="s">
        <v>121</v>
      </c>
      <c r="D102" t="s">
        <v>11</v>
      </c>
      <c r="E102" t="s">
        <v>18</v>
      </c>
      <c r="F102" t="s">
        <v>18</v>
      </c>
      <c r="G102">
        <v>320</v>
      </c>
      <c r="H102" t="s">
        <v>53</v>
      </c>
      <c r="I102">
        <v>4.2</v>
      </c>
      <c r="J102" t="str">
        <f t="shared" si="1"/>
        <v>₹300–399</v>
      </c>
    </row>
    <row r="103" spans="1:10" x14ac:dyDescent="0.3">
      <c r="A103">
        <v>102</v>
      </c>
      <c r="B103" t="s">
        <v>120</v>
      </c>
      <c r="C103" t="s">
        <v>121</v>
      </c>
      <c r="D103" t="s">
        <v>11</v>
      </c>
      <c r="E103" t="s">
        <v>15</v>
      </c>
      <c r="F103" t="s">
        <v>15</v>
      </c>
      <c r="G103">
        <v>140</v>
      </c>
      <c r="I103">
        <v>4.2</v>
      </c>
      <c r="J103" t="str">
        <f t="shared" si="1"/>
        <v>₹99–199</v>
      </c>
    </row>
    <row r="104" spans="1:10" x14ac:dyDescent="0.3">
      <c r="A104">
        <v>103</v>
      </c>
      <c r="B104" t="s">
        <v>120</v>
      </c>
      <c r="C104" t="s">
        <v>121</v>
      </c>
      <c r="D104" t="s">
        <v>11</v>
      </c>
      <c r="E104" t="s">
        <v>20</v>
      </c>
      <c r="F104" t="s">
        <v>20</v>
      </c>
      <c r="G104">
        <v>155</v>
      </c>
      <c r="H104" t="s">
        <v>52</v>
      </c>
      <c r="I104">
        <v>4.2</v>
      </c>
      <c r="J104" t="str">
        <f t="shared" si="1"/>
        <v>₹99–199</v>
      </c>
    </row>
    <row r="105" spans="1:10" x14ac:dyDescent="0.3">
      <c r="A105">
        <v>104</v>
      </c>
      <c r="B105" t="s">
        <v>120</v>
      </c>
      <c r="C105" t="s">
        <v>121</v>
      </c>
      <c r="D105" t="s">
        <v>11</v>
      </c>
      <c r="E105" t="s">
        <v>20</v>
      </c>
      <c r="F105" t="s">
        <v>59</v>
      </c>
      <c r="G105">
        <v>142</v>
      </c>
      <c r="H105" t="s">
        <v>53</v>
      </c>
      <c r="I105">
        <v>4.2</v>
      </c>
      <c r="J105" t="str">
        <f t="shared" si="1"/>
        <v>₹99–199</v>
      </c>
    </row>
    <row r="106" spans="1:10" x14ac:dyDescent="0.3">
      <c r="A106">
        <v>105</v>
      </c>
      <c r="B106" t="s">
        <v>120</v>
      </c>
      <c r="C106" t="s">
        <v>121</v>
      </c>
      <c r="D106" t="s">
        <v>26</v>
      </c>
      <c r="E106" t="s">
        <v>60</v>
      </c>
      <c r="F106" t="s">
        <v>122</v>
      </c>
      <c r="G106">
        <v>140</v>
      </c>
      <c r="H106" t="s">
        <v>53</v>
      </c>
      <c r="I106">
        <v>4.2</v>
      </c>
      <c r="J106" t="str">
        <f t="shared" si="1"/>
        <v>₹99–199</v>
      </c>
    </row>
    <row r="107" spans="1:10" x14ac:dyDescent="0.3">
      <c r="A107">
        <v>106</v>
      </c>
      <c r="B107" t="s">
        <v>120</v>
      </c>
      <c r="C107" t="s">
        <v>121</v>
      </c>
      <c r="D107" t="s">
        <v>26</v>
      </c>
      <c r="E107" t="s">
        <v>58</v>
      </c>
      <c r="F107" t="s">
        <v>123</v>
      </c>
      <c r="G107">
        <v>284</v>
      </c>
      <c r="H107" t="s">
        <v>52</v>
      </c>
      <c r="I107">
        <v>4.2</v>
      </c>
      <c r="J107" t="str">
        <f t="shared" si="1"/>
        <v>₹200–299</v>
      </c>
    </row>
    <row r="108" spans="1:10" x14ac:dyDescent="0.3">
      <c r="A108">
        <v>107</v>
      </c>
      <c r="B108" t="s">
        <v>120</v>
      </c>
      <c r="C108" t="s">
        <v>121</v>
      </c>
      <c r="D108" t="s">
        <v>26</v>
      </c>
      <c r="E108" t="s">
        <v>58</v>
      </c>
      <c r="F108" t="s">
        <v>124</v>
      </c>
      <c r="G108">
        <v>284</v>
      </c>
      <c r="H108" t="s">
        <v>53</v>
      </c>
      <c r="I108">
        <v>4.2</v>
      </c>
      <c r="J108" t="str">
        <f t="shared" si="1"/>
        <v>₹200–299</v>
      </c>
    </row>
    <row r="109" spans="1:10" x14ac:dyDescent="0.3">
      <c r="A109">
        <v>108</v>
      </c>
      <c r="B109" t="s">
        <v>142</v>
      </c>
      <c r="C109" t="s">
        <v>121</v>
      </c>
      <c r="D109" t="s">
        <v>11</v>
      </c>
      <c r="E109" t="s">
        <v>19</v>
      </c>
      <c r="F109" t="s">
        <v>19</v>
      </c>
      <c r="G109">
        <v>295</v>
      </c>
      <c r="H109" t="s">
        <v>52</v>
      </c>
      <c r="I109">
        <v>4.2</v>
      </c>
      <c r="J109" t="str">
        <f t="shared" si="1"/>
        <v>₹200–299</v>
      </c>
    </row>
    <row r="110" spans="1:10" x14ac:dyDescent="0.3">
      <c r="A110">
        <v>109</v>
      </c>
      <c r="B110" t="s">
        <v>142</v>
      </c>
      <c r="C110" t="s">
        <v>121</v>
      </c>
      <c r="D110" t="s">
        <v>11</v>
      </c>
      <c r="E110" t="s">
        <v>14</v>
      </c>
      <c r="F110" t="s">
        <v>14</v>
      </c>
      <c r="G110">
        <v>285</v>
      </c>
      <c r="H110" t="s">
        <v>52</v>
      </c>
      <c r="I110">
        <v>4.2</v>
      </c>
      <c r="J110" t="str">
        <f t="shared" si="1"/>
        <v>₹200–299</v>
      </c>
    </row>
    <row r="111" spans="1:10" x14ac:dyDescent="0.3">
      <c r="A111">
        <v>110</v>
      </c>
      <c r="B111" t="s">
        <v>142</v>
      </c>
      <c r="C111" t="s">
        <v>121</v>
      </c>
      <c r="D111" t="s">
        <v>11</v>
      </c>
      <c r="E111" t="s">
        <v>13</v>
      </c>
      <c r="F111" t="s">
        <v>13</v>
      </c>
      <c r="G111">
        <v>270</v>
      </c>
      <c r="H111" t="s">
        <v>52</v>
      </c>
      <c r="I111">
        <v>4.2</v>
      </c>
      <c r="J111" t="str">
        <f t="shared" si="1"/>
        <v>₹200–299</v>
      </c>
    </row>
    <row r="112" spans="1:10" x14ac:dyDescent="0.3">
      <c r="A112">
        <v>111</v>
      </c>
      <c r="B112" t="s">
        <v>142</v>
      </c>
      <c r="C112" t="s">
        <v>121</v>
      </c>
      <c r="D112" t="s">
        <v>11</v>
      </c>
      <c r="E112" t="s">
        <v>19</v>
      </c>
      <c r="F112" t="s">
        <v>125</v>
      </c>
      <c r="G112">
        <v>350</v>
      </c>
      <c r="H112" t="s">
        <v>52</v>
      </c>
      <c r="I112">
        <v>4.2</v>
      </c>
      <c r="J112" t="str">
        <f t="shared" si="1"/>
        <v>₹300–399</v>
      </c>
    </row>
    <row r="113" spans="1:10" x14ac:dyDescent="0.3">
      <c r="A113">
        <v>112</v>
      </c>
      <c r="B113" t="s">
        <v>142</v>
      </c>
      <c r="C113" t="s">
        <v>121</v>
      </c>
      <c r="D113" t="s">
        <v>11</v>
      </c>
      <c r="E113" t="s">
        <v>18</v>
      </c>
      <c r="F113" t="s">
        <v>18</v>
      </c>
      <c r="G113">
        <v>335</v>
      </c>
      <c r="H113" t="s">
        <v>52</v>
      </c>
      <c r="I113">
        <v>4.2</v>
      </c>
      <c r="J113" t="str">
        <f t="shared" si="1"/>
        <v>₹300–399</v>
      </c>
    </row>
    <row r="114" spans="1:10" x14ac:dyDescent="0.3">
      <c r="A114">
        <v>113</v>
      </c>
      <c r="B114" t="s">
        <v>142</v>
      </c>
      <c r="C114" t="s">
        <v>121</v>
      </c>
      <c r="D114" t="s">
        <v>11</v>
      </c>
      <c r="E114" t="s">
        <v>20</v>
      </c>
      <c r="F114" t="s">
        <v>20</v>
      </c>
      <c r="G114">
        <v>320</v>
      </c>
      <c r="H114" t="s">
        <v>52</v>
      </c>
      <c r="I114">
        <v>4.2</v>
      </c>
      <c r="J114" t="str">
        <f t="shared" si="1"/>
        <v>₹300–399</v>
      </c>
    </row>
    <row r="115" spans="1:10" x14ac:dyDescent="0.3">
      <c r="A115">
        <v>114</v>
      </c>
      <c r="B115" t="s">
        <v>142</v>
      </c>
      <c r="C115" t="s">
        <v>121</v>
      </c>
      <c r="D115" t="s">
        <v>11</v>
      </c>
      <c r="E115" t="s">
        <v>19</v>
      </c>
      <c r="F115" t="s">
        <v>126</v>
      </c>
      <c r="G115">
        <v>330</v>
      </c>
      <c r="H115" t="s">
        <v>52</v>
      </c>
      <c r="I115">
        <v>4.2</v>
      </c>
      <c r="J115" t="str">
        <f t="shared" si="1"/>
        <v>₹300–399</v>
      </c>
    </row>
    <row r="116" spans="1:10" x14ac:dyDescent="0.3">
      <c r="A116">
        <v>115</v>
      </c>
      <c r="B116" t="s">
        <v>142</v>
      </c>
      <c r="C116" t="s">
        <v>121</v>
      </c>
      <c r="D116" t="s">
        <v>11</v>
      </c>
      <c r="E116" t="s">
        <v>15</v>
      </c>
      <c r="F116" t="s">
        <v>127</v>
      </c>
      <c r="G116">
        <v>305</v>
      </c>
      <c r="H116" t="s">
        <v>52</v>
      </c>
      <c r="I116">
        <v>4.2</v>
      </c>
      <c r="J116" t="str">
        <f t="shared" si="1"/>
        <v>₹300–399</v>
      </c>
    </row>
    <row r="117" spans="1:10" x14ac:dyDescent="0.3">
      <c r="A117">
        <v>116</v>
      </c>
      <c r="B117" t="s">
        <v>142</v>
      </c>
      <c r="C117" t="s">
        <v>121</v>
      </c>
      <c r="D117" t="s">
        <v>26</v>
      </c>
      <c r="E117" t="s">
        <v>58</v>
      </c>
      <c r="F117" t="s">
        <v>128</v>
      </c>
      <c r="G117">
        <v>440</v>
      </c>
      <c r="H117" t="s">
        <v>52</v>
      </c>
      <c r="I117">
        <v>4.2</v>
      </c>
      <c r="J117" t="str">
        <f t="shared" si="1"/>
        <v>₹400-499</v>
      </c>
    </row>
    <row r="118" spans="1:10" x14ac:dyDescent="0.3">
      <c r="A118">
        <v>117</v>
      </c>
      <c r="B118" t="s">
        <v>142</v>
      </c>
      <c r="C118" t="s">
        <v>121</v>
      </c>
      <c r="D118" t="s">
        <v>26</v>
      </c>
      <c r="E118" t="s">
        <v>89</v>
      </c>
      <c r="F118" t="s">
        <v>129</v>
      </c>
      <c r="G118">
        <v>370</v>
      </c>
      <c r="H118" t="s">
        <v>52</v>
      </c>
      <c r="I118">
        <v>4.2</v>
      </c>
      <c r="J118" t="str">
        <f t="shared" si="1"/>
        <v>₹300–399</v>
      </c>
    </row>
    <row r="119" spans="1:10" x14ac:dyDescent="0.3">
      <c r="A119">
        <v>118</v>
      </c>
      <c r="B119" t="s">
        <v>142</v>
      </c>
      <c r="C119" t="s">
        <v>121</v>
      </c>
      <c r="D119" t="s">
        <v>26</v>
      </c>
      <c r="E119" t="s">
        <v>58</v>
      </c>
      <c r="F119" t="s">
        <v>130</v>
      </c>
      <c r="G119">
        <v>260</v>
      </c>
      <c r="H119" t="s">
        <v>53</v>
      </c>
      <c r="I119">
        <v>4.2</v>
      </c>
      <c r="J119" t="str">
        <f t="shared" si="1"/>
        <v>₹200–299</v>
      </c>
    </row>
    <row r="120" spans="1:10" x14ac:dyDescent="0.3">
      <c r="A120">
        <v>119</v>
      </c>
      <c r="B120" t="s">
        <v>142</v>
      </c>
      <c r="C120" t="s">
        <v>121</v>
      </c>
      <c r="D120" t="s">
        <v>26</v>
      </c>
      <c r="E120" t="s">
        <v>58</v>
      </c>
      <c r="F120" t="s">
        <v>131</v>
      </c>
      <c r="G120">
        <v>280</v>
      </c>
      <c r="H120" t="s">
        <v>53</v>
      </c>
      <c r="I120">
        <v>4.2</v>
      </c>
      <c r="J120" t="str">
        <f t="shared" si="1"/>
        <v>₹200–299</v>
      </c>
    </row>
    <row r="121" spans="1:10" x14ac:dyDescent="0.3">
      <c r="A121">
        <v>120</v>
      </c>
      <c r="B121" t="s">
        <v>132</v>
      </c>
      <c r="C121" t="s">
        <v>49</v>
      </c>
      <c r="D121" t="s">
        <v>11</v>
      </c>
      <c r="E121" t="s">
        <v>18</v>
      </c>
      <c r="F121" t="s">
        <v>18</v>
      </c>
      <c r="G121">
        <v>300</v>
      </c>
      <c r="H121" t="s">
        <v>53</v>
      </c>
      <c r="I121">
        <v>4.0999999999999996</v>
      </c>
      <c r="J121" t="str">
        <f t="shared" si="1"/>
        <v>₹300–399</v>
      </c>
    </row>
    <row r="122" spans="1:10" x14ac:dyDescent="0.3">
      <c r="A122">
        <v>121</v>
      </c>
      <c r="B122" t="s">
        <v>132</v>
      </c>
      <c r="C122" t="s">
        <v>76</v>
      </c>
      <c r="D122" t="s">
        <v>11</v>
      </c>
      <c r="E122" t="s">
        <v>14</v>
      </c>
      <c r="F122" t="s">
        <v>14</v>
      </c>
      <c r="G122">
        <v>275</v>
      </c>
      <c r="H122" t="s">
        <v>52</v>
      </c>
      <c r="I122">
        <v>4.0999999999999996</v>
      </c>
      <c r="J122" t="str">
        <f t="shared" si="1"/>
        <v>₹200–299</v>
      </c>
    </row>
    <row r="123" spans="1:10" x14ac:dyDescent="0.3">
      <c r="A123">
        <v>122</v>
      </c>
      <c r="B123" t="s">
        <v>132</v>
      </c>
      <c r="C123" t="s">
        <v>77</v>
      </c>
      <c r="D123" t="s">
        <v>11</v>
      </c>
      <c r="E123" t="s">
        <v>19</v>
      </c>
      <c r="F123" t="s">
        <v>19</v>
      </c>
      <c r="G123">
        <v>240</v>
      </c>
      <c r="H123" t="s">
        <v>52</v>
      </c>
      <c r="I123">
        <v>4.0999999999999996</v>
      </c>
      <c r="J123" t="str">
        <f t="shared" si="1"/>
        <v>₹200–299</v>
      </c>
    </row>
    <row r="124" spans="1:10" x14ac:dyDescent="0.3">
      <c r="A124">
        <v>123</v>
      </c>
      <c r="B124" t="s">
        <v>132</v>
      </c>
      <c r="C124" t="s">
        <v>78</v>
      </c>
      <c r="D124" t="s">
        <v>11</v>
      </c>
      <c r="E124" t="s">
        <v>13</v>
      </c>
      <c r="F124" t="s">
        <v>13</v>
      </c>
      <c r="G124">
        <v>240</v>
      </c>
      <c r="H124" t="s">
        <v>53</v>
      </c>
      <c r="I124">
        <v>4.0999999999999996</v>
      </c>
      <c r="J124" t="str">
        <f t="shared" si="1"/>
        <v>₹200–299</v>
      </c>
    </row>
    <row r="125" spans="1:10" x14ac:dyDescent="0.3">
      <c r="A125">
        <v>124</v>
      </c>
      <c r="B125" t="s">
        <v>132</v>
      </c>
      <c r="C125" t="s">
        <v>79</v>
      </c>
      <c r="D125" t="s">
        <v>11</v>
      </c>
      <c r="E125" t="s">
        <v>19</v>
      </c>
      <c r="F125" t="s">
        <v>21</v>
      </c>
      <c r="G125">
        <v>300</v>
      </c>
      <c r="H125" t="s">
        <v>52</v>
      </c>
      <c r="I125">
        <v>4.0999999999999996</v>
      </c>
      <c r="J125" t="str">
        <f t="shared" si="1"/>
        <v>₹300–399</v>
      </c>
    </row>
    <row r="126" spans="1:10" x14ac:dyDescent="0.3">
      <c r="A126">
        <v>125</v>
      </c>
      <c r="B126" t="s">
        <v>132</v>
      </c>
      <c r="C126" t="s">
        <v>80</v>
      </c>
      <c r="D126" t="s">
        <v>11</v>
      </c>
      <c r="E126" t="s">
        <v>20</v>
      </c>
      <c r="F126" t="s">
        <v>20</v>
      </c>
      <c r="G126">
        <v>305</v>
      </c>
      <c r="H126" t="s">
        <v>53</v>
      </c>
      <c r="I126">
        <v>4.0999999999999996</v>
      </c>
      <c r="J126" t="str">
        <f t="shared" si="1"/>
        <v>₹300–399</v>
      </c>
    </row>
    <row r="127" spans="1:10" x14ac:dyDescent="0.3">
      <c r="A127">
        <v>126</v>
      </c>
      <c r="B127" t="s">
        <v>132</v>
      </c>
      <c r="C127" t="s">
        <v>81</v>
      </c>
      <c r="D127" t="s">
        <v>11</v>
      </c>
      <c r="E127" t="s">
        <v>15</v>
      </c>
      <c r="F127" t="s">
        <v>15</v>
      </c>
      <c r="G127">
        <v>285</v>
      </c>
      <c r="H127" t="s">
        <v>53</v>
      </c>
      <c r="I127">
        <v>4.0999999999999996</v>
      </c>
      <c r="J127" t="str">
        <f t="shared" si="1"/>
        <v>₹200–299</v>
      </c>
    </row>
    <row r="128" spans="1:10" x14ac:dyDescent="0.3">
      <c r="A128">
        <v>127</v>
      </c>
      <c r="B128" t="s">
        <v>132</v>
      </c>
      <c r="C128" t="s">
        <v>82</v>
      </c>
      <c r="D128" t="s">
        <v>11</v>
      </c>
      <c r="E128" t="s">
        <v>20</v>
      </c>
      <c r="F128" t="s">
        <v>59</v>
      </c>
      <c r="G128">
        <v>265</v>
      </c>
      <c r="H128" t="s">
        <v>52</v>
      </c>
      <c r="I128">
        <v>4.0999999999999996</v>
      </c>
      <c r="J128" t="str">
        <f t="shared" si="1"/>
        <v>₹200–299</v>
      </c>
    </row>
    <row r="129" spans="1:10" x14ac:dyDescent="0.3">
      <c r="A129">
        <v>128</v>
      </c>
      <c r="B129" t="s">
        <v>132</v>
      </c>
      <c r="C129" t="s">
        <v>138</v>
      </c>
      <c r="D129" t="s">
        <v>26</v>
      </c>
      <c r="E129" t="s">
        <v>133</v>
      </c>
      <c r="F129" t="s">
        <v>134</v>
      </c>
      <c r="G129">
        <v>189</v>
      </c>
      <c r="H129" t="s">
        <v>53</v>
      </c>
      <c r="I129">
        <v>4.0999999999999996</v>
      </c>
      <c r="J129" t="str">
        <f t="shared" si="1"/>
        <v>₹99–199</v>
      </c>
    </row>
    <row r="130" spans="1:10" x14ac:dyDescent="0.3">
      <c r="A130">
        <v>129</v>
      </c>
      <c r="B130" t="s">
        <v>132</v>
      </c>
      <c r="C130" t="s">
        <v>139</v>
      </c>
      <c r="D130" t="s">
        <v>26</v>
      </c>
      <c r="E130" t="s">
        <v>133</v>
      </c>
      <c r="F130" t="s">
        <v>135</v>
      </c>
      <c r="G130">
        <v>209</v>
      </c>
      <c r="H130" t="s">
        <v>53</v>
      </c>
      <c r="I130">
        <v>4.0999999999999996</v>
      </c>
      <c r="J130" t="str">
        <f t="shared" si="1"/>
        <v>₹200–299</v>
      </c>
    </row>
    <row r="131" spans="1:10" x14ac:dyDescent="0.3">
      <c r="A131">
        <v>130</v>
      </c>
      <c r="B131" t="s">
        <v>132</v>
      </c>
      <c r="C131" t="s">
        <v>140</v>
      </c>
      <c r="D131" t="s">
        <v>26</v>
      </c>
      <c r="E131" t="s">
        <v>58</v>
      </c>
      <c r="F131" t="s">
        <v>136</v>
      </c>
      <c r="G131">
        <v>245</v>
      </c>
      <c r="H131" t="s">
        <v>53</v>
      </c>
      <c r="I131">
        <v>4.0999999999999996</v>
      </c>
      <c r="J131" t="str">
        <f t="shared" ref="J131:J132" si="2">IF(G131&lt;=199,"₹99–199",
IF(G131&lt;=299,"₹200–299",
IF(G131&lt;=399,"₹300–399",IF(G131&lt;=499,"₹400-499","₹500+"))))</f>
        <v>₹200–299</v>
      </c>
    </row>
    <row r="132" spans="1:10" x14ac:dyDescent="0.3">
      <c r="A132">
        <v>131</v>
      </c>
      <c r="B132" t="s">
        <v>132</v>
      </c>
      <c r="C132" t="s">
        <v>141</v>
      </c>
      <c r="D132" t="s">
        <v>26</v>
      </c>
      <c r="E132" t="s">
        <v>58</v>
      </c>
      <c r="F132" t="s">
        <v>137</v>
      </c>
      <c r="G132">
        <v>350</v>
      </c>
      <c r="H132" t="s">
        <v>53</v>
      </c>
      <c r="I132">
        <v>4.0999999999999996</v>
      </c>
      <c r="J132" t="str">
        <f t="shared" si="2"/>
        <v>₹300–399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57DA3013-A7AC-4077-B867-AC19E26701FE}">
  <ds:schemaRefs/>
</ds:datastoreItem>
</file>

<file path=customXml/itemProps2.xml><?xml version="1.0" encoding="utf-8"?>
<ds:datastoreItem xmlns:ds="http://schemas.openxmlformats.org/officeDocument/2006/customXml" ds:itemID="{EA367F20-094E-4DD4-A93D-8ED93A944B4A}">
  <ds:schemaRefs/>
</ds:datastoreItem>
</file>

<file path=customXml/itemProps3.xml><?xml version="1.0" encoding="utf-8"?>
<ds:datastoreItem xmlns:ds="http://schemas.openxmlformats.org/officeDocument/2006/customXml" ds:itemID="{C75BFF84-05B4-4736-85EB-1C1C03938134}">
  <ds:schemaRefs/>
</ds:datastoreItem>
</file>

<file path=customXml/itemProps4.xml><?xml version="1.0" encoding="utf-8"?>
<ds:datastoreItem xmlns:ds="http://schemas.openxmlformats.org/officeDocument/2006/customXml" ds:itemID="{E5B8A0E4-E77A-4D67-ADB9-E4D38798258E}">
  <ds:schemaRefs/>
</ds:datastoreItem>
</file>

<file path=customXml/itemProps5.xml><?xml version="1.0" encoding="utf-8"?>
<ds:datastoreItem xmlns:ds="http://schemas.openxmlformats.org/officeDocument/2006/customXml" ds:itemID="{2A2C5DF9-9087-4590-9561-FCE4C2B583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Visuals</vt:lpstr>
      <vt:lpstr>Coffee Market Analysis (Gurg</vt:lpstr>
      <vt:lpstr>Quick Bites Market Analysis</vt:lpstr>
      <vt:lpstr>Competitive Pricing &amp; Benchm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AMARTHALURU HEMANTH KUMAR</dc:creator>
  <cp:lastModifiedBy>AMARTHALURU HEMANTH KUMAR</cp:lastModifiedBy>
  <dcterms:created xsi:type="dcterms:W3CDTF">2025-12-27T07:54:13Z</dcterms:created>
  <dcterms:modified xsi:type="dcterms:W3CDTF">2025-12-28T07:17:56Z</dcterms:modified>
</cp:coreProperties>
</file>